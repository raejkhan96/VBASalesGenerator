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2.xml" ContentType="application/vnd.openxmlformats-officedocument.drawing+xml"/>
  <Override PartName="/xl/tables/table1.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hidePivotFieldList="1"/>
  <mc:AlternateContent xmlns:mc="http://schemas.openxmlformats.org/markup-compatibility/2006">
    <mc:Choice Requires="x15">
      <x15ac:absPath xmlns:x15ac="http://schemas.microsoft.com/office/spreadsheetml/2010/11/ac" url="C:\Users\Rae\Downloads\VBA Udemy\VBA Project 2, Section 14\"/>
    </mc:Choice>
  </mc:AlternateContent>
  <xr:revisionPtr revIDLastSave="0" documentId="13_ncr:1_{93ADDDB1-67EA-48F6-9D5D-90BDD89BD1D9}" xr6:coauthVersionLast="45" xr6:coauthVersionMax="45" xr10:uidLastSave="{00000000-0000-0000-0000-000000000000}"/>
  <bookViews>
    <workbookView xWindow="-120" yWindow="-120" windowWidth="29040" windowHeight="15840" tabRatio="554" xr2:uid="{00000000-000D-0000-FFFF-FFFF00000000}"/>
  </bookViews>
  <sheets>
    <sheet name="Start" sheetId="6" r:id="rId1"/>
    <sheet name="Summary" sheetId="3" r:id="rId2"/>
    <sheet name="RegionTemp" sheetId="7" r:id="rId3"/>
    <sheet name="Map" sheetId="2" r:id="rId4"/>
    <sheet name="NewData" sheetId="4" r:id="rId5"/>
  </sheets>
  <definedNames>
    <definedName name="_xlnm._FilterDatabase" localSheetId="1" hidden="1">Summary!$A$1:$H$1</definedName>
    <definedName name="MRegion">Map!$G$9:$G$10</definedName>
    <definedName name="Slicer_Company_Name">#N/A</definedName>
  </definedNames>
  <calcPr calcId="191029"/>
  <pivotCaches>
    <pivotCache cacheId="1" r:id="rId6"/>
  </pivotCaches>
  <extLst>
    <ext xmlns:x14="http://schemas.microsoft.com/office/spreadsheetml/2009/9/main" uri="{BBE1A952-AA13-448e-AADC-164F8A28A991}">
      <x14:slicerCaches>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3" i="7" l="1"/>
  <c r="I4" i="7"/>
  <c r="I5" i="7"/>
  <c r="I6" i="7"/>
  <c r="I7" i="7"/>
  <c r="I8" i="7"/>
  <c r="I9" i="7"/>
  <c r="I10" i="7"/>
  <c r="I11" i="7"/>
  <c r="I12" i="7"/>
  <c r="I13" i="7"/>
  <c r="I14" i="7"/>
  <c r="I15" i="7"/>
  <c r="I16" i="7"/>
  <c r="I17" i="7"/>
  <c r="I18" i="7"/>
  <c r="I19" i="7"/>
  <c r="I20" i="7"/>
  <c r="I21" i="7"/>
  <c r="I22" i="7"/>
  <c r="I23" i="7"/>
  <c r="I24" i="7"/>
  <c r="I25" i="7"/>
  <c r="I26" i="7"/>
  <c r="I27" i="7"/>
  <c r="I28" i="7"/>
  <c r="I29" i="7"/>
  <c r="I30" i="7"/>
  <c r="I31" i="7"/>
  <c r="I32" i="7"/>
  <c r="I33" i="7"/>
  <c r="I34" i="7"/>
  <c r="I35" i="7"/>
  <c r="I36" i="7"/>
  <c r="I37" i="7"/>
  <c r="I38" i="7"/>
  <c r="I39" i="7"/>
  <c r="I40" i="7"/>
  <c r="I41" i="7"/>
  <c r="I42" i="7"/>
  <c r="I43" i="7"/>
  <c r="J3" i="7"/>
  <c r="J4" i="7"/>
  <c r="J5" i="7"/>
  <c r="J6" i="7"/>
  <c r="J7" i="7"/>
  <c r="J8" i="7"/>
  <c r="J9" i="7"/>
  <c r="J10" i="7"/>
  <c r="J11" i="7"/>
  <c r="J12" i="7"/>
  <c r="J13" i="7"/>
  <c r="J14" i="7"/>
  <c r="J15" i="7"/>
  <c r="J16" i="7"/>
  <c r="J17" i="7"/>
  <c r="J18" i="7"/>
  <c r="J19" i="7"/>
  <c r="J20" i="7"/>
  <c r="J21" i="7"/>
  <c r="J22" i="7"/>
  <c r="J23" i="7"/>
  <c r="J24" i="7"/>
  <c r="J25" i="7"/>
  <c r="J26" i="7"/>
  <c r="J27" i="7"/>
  <c r="J28" i="7"/>
  <c r="J29" i="7"/>
  <c r="J30" i="7"/>
  <c r="J31" i="7"/>
  <c r="J32" i="7"/>
  <c r="J33" i="7"/>
  <c r="J34" i="7"/>
  <c r="J35" i="7"/>
  <c r="J36" i="7"/>
  <c r="J37" i="7"/>
  <c r="J38" i="7"/>
  <c r="J39" i="7"/>
  <c r="J40" i="7"/>
  <c r="J41" i="7"/>
  <c r="J42" i="7"/>
  <c r="J43" i="7"/>
  <c r="K3" i="7"/>
  <c r="K4" i="7"/>
  <c r="K5" i="7"/>
  <c r="K6" i="7"/>
  <c r="K7" i="7"/>
  <c r="K8" i="7"/>
  <c r="K9" i="7"/>
  <c r="K10" i="7"/>
  <c r="K11" i="7"/>
  <c r="K12" i="7"/>
  <c r="K13" i="7"/>
  <c r="K14" i="7"/>
  <c r="K15" i="7"/>
  <c r="K16" i="7"/>
  <c r="K17" i="7"/>
  <c r="K18" i="7"/>
  <c r="K19" i="7"/>
  <c r="K20" i="7"/>
  <c r="K21" i="7"/>
  <c r="K22" i="7"/>
  <c r="K23" i="7"/>
  <c r="K24" i="7"/>
  <c r="K25" i="7"/>
  <c r="K26" i="7"/>
  <c r="K27" i="7"/>
  <c r="K28" i="7"/>
  <c r="K29" i="7"/>
  <c r="K30" i="7"/>
  <c r="K31" i="7"/>
  <c r="K32" i="7"/>
  <c r="K33" i="7"/>
  <c r="K34" i="7"/>
  <c r="K35" i="7"/>
  <c r="K36" i="7"/>
  <c r="K37" i="7"/>
  <c r="K38" i="7"/>
  <c r="K39" i="7"/>
  <c r="K40" i="7"/>
  <c r="K41" i="7"/>
  <c r="K42" i="7"/>
  <c r="K43" i="7"/>
  <c r="L3" i="7"/>
  <c r="M3" i="7" s="1"/>
  <c r="L4" i="7"/>
  <c r="L5" i="7"/>
  <c r="L6" i="7"/>
  <c r="L7" i="7"/>
  <c r="M7" i="7" s="1"/>
  <c r="L8" i="7"/>
  <c r="L9" i="7"/>
  <c r="L10" i="7"/>
  <c r="L11" i="7"/>
  <c r="M11" i="7" s="1"/>
  <c r="L12" i="7"/>
  <c r="L13" i="7"/>
  <c r="L14" i="7"/>
  <c r="L15" i="7"/>
  <c r="M15" i="7" s="1"/>
  <c r="L16" i="7"/>
  <c r="L17" i="7"/>
  <c r="L18" i="7"/>
  <c r="L19" i="7"/>
  <c r="M19" i="7" s="1"/>
  <c r="L20" i="7"/>
  <c r="L21" i="7"/>
  <c r="L22" i="7"/>
  <c r="L23" i="7"/>
  <c r="M23" i="7" s="1"/>
  <c r="L24" i="7"/>
  <c r="L25" i="7"/>
  <c r="L26" i="7"/>
  <c r="L27" i="7"/>
  <c r="M27" i="7" s="1"/>
  <c r="L28" i="7"/>
  <c r="L29" i="7"/>
  <c r="L30" i="7"/>
  <c r="L31" i="7"/>
  <c r="M31" i="7" s="1"/>
  <c r="L32" i="7"/>
  <c r="L33" i="7"/>
  <c r="L34" i="7"/>
  <c r="L35" i="7"/>
  <c r="M35" i="7" s="1"/>
  <c r="L36" i="7"/>
  <c r="L37" i="7"/>
  <c r="L38" i="7"/>
  <c r="L39" i="7"/>
  <c r="M39" i="7" s="1"/>
  <c r="L40" i="7"/>
  <c r="L41" i="7"/>
  <c r="L42" i="7"/>
  <c r="L43" i="7"/>
  <c r="M43" i="7" s="1"/>
  <c r="M4" i="7"/>
  <c r="M5" i="7"/>
  <c r="M6" i="7"/>
  <c r="M8" i="7"/>
  <c r="M9" i="7"/>
  <c r="M10" i="7"/>
  <c r="M12" i="7"/>
  <c r="M13" i="7"/>
  <c r="M14" i="7"/>
  <c r="M16" i="7"/>
  <c r="M17" i="7"/>
  <c r="M18" i="7"/>
  <c r="M20" i="7"/>
  <c r="M21" i="7"/>
  <c r="M22" i="7"/>
  <c r="M24" i="7"/>
  <c r="M25" i="7"/>
  <c r="M26" i="7"/>
  <c r="M28" i="7"/>
  <c r="M29" i="7"/>
  <c r="M30" i="7"/>
  <c r="M32" i="7"/>
  <c r="M33" i="7"/>
  <c r="M34" i="7"/>
  <c r="M36" i="7"/>
  <c r="M37" i="7"/>
  <c r="M38" i="7"/>
  <c r="M40" i="7"/>
  <c r="M41" i="7"/>
  <c r="M42" i="7"/>
  <c r="L2" i="7" l="1"/>
  <c r="M2" i="7" s="1"/>
  <c r="K2" i="7" l="1"/>
  <c r="J2" i="7"/>
  <c r="I2" i="7"/>
</calcChain>
</file>

<file path=xl/sharedStrings.xml><?xml version="1.0" encoding="utf-8"?>
<sst xmlns="http://schemas.openxmlformats.org/spreadsheetml/2006/main" count="219" uniqueCount="93">
  <si>
    <t>Description</t>
  </si>
  <si>
    <t>USD</t>
  </si>
  <si>
    <t>Sales Document</t>
  </si>
  <si>
    <t>Currency</t>
  </si>
  <si>
    <t>Women crop top black</t>
  </si>
  <si>
    <t>Men basics</t>
  </si>
  <si>
    <t>Men type T simple white</t>
  </si>
  <si>
    <t>Men type T simple black</t>
  </si>
  <si>
    <t>Women type T simple white</t>
  </si>
  <si>
    <t>Women type T simple black</t>
  </si>
  <si>
    <t>Women basics</t>
  </si>
  <si>
    <t>Laptop bag black</t>
  </si>
  <si>
    <t>Laptop bag red</t>
  </si>
  <si>
    <t>Smartphone case diamond</t>
  </si>
  <si>
    <t>Smartphone case simple</t>
  </si>
  <si>
    <t>Men dress shirt white</t>
  </si>
  <si>
    <t>Men dress shirt black</t>
  </si>
  <si>
    <t>Men dress shirt grey</t>
  </si>
  <si>
    <t>Unisex tank top black</t>
  </si>
  <si>
    <t>Unisex tank top white</t>
  </si>
  <si>
    <t>Men shorts grey</t>
  </si>
  <si>
    <t>Men shorts black</t>
  </si>
  <si>
    <t>Women evening dress long black</t>
  </si>
  <si>
    <t>Women evening dress Cocktail red</t>
  </si>
  <si>
    <t>Master Data &amp;</t>
  </si>
  <si>
    <t>Mapping Table</t>
  </si>
  <si>
    <t>Article Number Mapping</t>
  </si>
  <si>
    <t>Company Mapping</t>
  </si>
  <si>
    <t>1010US</t>
  </si>
  <si>
    <t>1020US</t>
  </si>
  <si>
    <t>1030AT</t>
  </si>
  <si>
    <t>1040DE</t>
  </si>
  <si>
    <t>Urban Right</t>
  </si>
  <si>
    <t>Lucas Basics</t>
  </si>
  <si>
    <t>Bere Kleid</t>
  </si>
  <si>
    <t>Company Name</t>
  </si>
  <si>
    <t>Ship to Party Mapping</t>
  </si>
  <si>
    <t>Month</t>
  </si>
  <si>
    <t>EUR</t>
  </si>
  <si>
    <t>Company ID</t>
  </si>
  <si>
    <t>Document Date</t>
  </si>
  <si>
    <t>Quantity</t>
  </si>
  <si>
    <t>Sales Value</t>
  </si>
  <si>
    <t>Reject</t>
  </si>
  <si>
    <t>Customer Name</t>
  </si>
  <si>
    <t>Dellicia</t>
  </si>
  <si>
    <t>Meta Creations</t>
  </si>
  <si>
    <t>Erma</t>
  </si>
  <si>
    <t>Edson</t>
  </si>
  <si>
    <t>Customer code</t>
  </si>
  <si>
    <t>Company code</t>
  </si>
  <si>
    <t>EUR to $</t>
  </si>
  <si>
    <t>Article code</t>
  </si>
  <si>
    <t>Region</t>
  </si>
  <si>
    <t>America</t>
  </si>
  <si>
    <t>Europe</t>
  </si>
  <si>
    <t>Regions</t>
  </si>
  <si>
    <t>Werner Strauss</t>
  </si>
  <si>
    <t>Aida GmbH</t>
  </si>
  <si>
    <t>Liebher</t>
  </si>
  <si>
    <t>Average monthly exchange rates</t>
  </si>
  <si>
    <t>Internal code</t>
  </si>
  <si>
    <t/>
  </si>
  <si>
    <t>Sales Local Currency</t>
  </si>
  <si>
    <t>Article Description</t>
  </si>
  <si>
    <t>Sales US Dollar</t>
  </si>
  <si>
    <t>Company</t>
  </si>
  <si>
    <t>Regional Sales by Customer</t>
  </si>
  <si>
    <t>Grand Total</t>
  </si>
  <si>
    <t>Customer</t>
  </si>
  <si>
    <t>$ Sales</t>
  </si>
  <si>
    <t>%</t>
  </si>
  <si>
    <t>Row Labels</t>
  </si>
  <si>
    <t>Sum of Quantity</t>
  </si>
  <si>
    <t xml:space="preserve"> Total</t>
  </si>
  <si>
    <t>Article Overview By Company</t>
  </si>
  <si>
    <t>Reject %</t>
  </si>
  <si>
    <t xml:space="preserve"> Reject</t>
  </si>
  <si>
    <t>Regional Overview</t>
  </si>
  <si>
    <t>Sum of Sales US Dollar</t>
  </si>
  <si>
    <t>C11</t>
  </si>
  <si>
    <t>C14</t>
  </si>
  <si>
    <t>C19</t>
  </si>
  <si>
    <t>C18</t>
  </si>
  <si>
    <t>C10</t>
  </si>
  <si>
    <t>C17</t>
  </si>
  <si>
    <t>C13</t>
  </si>
  <si>
    <t>C16</t>
  </si>
  <si>
    <t>C12</t>
  </si>
  <si>
    <t>C20</t>
  </si>
  <si>
    <t>C15</t>
  </si>
  <si>
    <t>Tasks Completed</t>
  </si>
  <si>
    <t>Data imported for: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</si>
</sst>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quot;$&quot;#,##0"/>
  </numFmts>
  <fonts count="10" x14ac:knownFonts="1">
    <font>
      <sz val="10"/>
      <color theme="1"/>
      <name val="Arial"/>
      <family val="2"/>
      <scheme val="minor"/>
    </font>
    <font>
      <sz val="8"/>
      <color theme="1"/>
      <name val="Arial"/>
      <family val="2"/>
    </font>
    <font>
      <b/>
      <sz val="11"/>
      <color theme="0"/>
      <name val="Arial"/>
      <family val="2"/>
      <scheme val="minor"/>
    </font>
    <font>
      <b/>
      <sz val="11"/>
      <name val="Arial"/>
      <family val="2"/>
      <scheme val="minor"/>
    </font>
    <font>
      <sz val="10"/>
      <color rgb="FFA31515"/>
      <name val="Consolas"/>
      <family val="3"/>
    </font>
    <font>
      <b/>
      <sz val="10"/>
      <color indexed="9"/>
      <name val="Arial"/>
      <family val="2"/>
      <scheme val="minor"/>
    </font>
    <font>
      <sz val="10"/>
      <color theme="1"/>
      <name val="Arial"/>
      <family val="2"/>
      <scheme val="minor"/>
    </font>
    <font>
      <sz val="8"/>
      <name val="Arial"/>
      <family val="2"/>
      <scheme val="minor"/>
    </font>
    <font>
      <sz val="10"/>
      <color rgb="FF000000"/>
      <name val="Arial"/>
      <family val="2"/>
    </font>
    <font>
      <b/>
      <sz val="10"/>
      <color theme="1"/>
      <name val="Arial"/>
      <family val="2"/>
      <scheme val="minor"/>
    </font>
  </fonts>
  <fills count="8">
    <fill>
      <patternFill patternType="none"/>
    </fill>
    <fill>
      <patternFill patternType="gray125"/>
    </fill>
    <fill>
      <patternFill patternType="solid">
        <fgColor theme="2" tint="-0.749992370372631"/>
        <bgColor indexed="64"/>
      </patternFill>
    </fill>
    <fill>
      <patternFill patternType="solid">
        <fgColor indexed="44"/>
        <bgColor indexed="64"/>
      </patternFill>
    </fill>
    <fill>
      <patternFill patternType="solid">
        <fgColor theme="3"/>
        <bgColor indexed="64"/>
      </patternFill>
    </fill>
    <fill>
      <patternFill patternType="solid">
        <fgColor theme="9" tint="-0.249977111117893"/>
        <bgColor indexed="64"/>
      </patternFill>
    </fill>
    <fill>
      <patternFill patternType="solid">
        <fgColor theme="1" tint="0.34998626667073579"/>
        <bgColor indexed="64"/>
      </patternFill>
    </fill>
    <fill>
      <patternFill patternType="solid">
        <fgColor theme="4" tint="-0.249977111117893"/>
        <bgColor indexed="64"/>
      </patternFill>
    </fill>
  </fills>
  <borders count="6">
    <border>
      <left/>
      <right/>
      <top/>
      <bottom/>
      <diagonal/>
    </border>
    <border>
      <left/>
      <right/>
      <top/>
      <bottom style="thin">
        <color indexed="64"/>
      </bottom>
      <diagonal/>
    </border>
    <border>
      <left/>
      <right/>
      <top/>
      <bottom style="thin">
        <color theme="0" tint="-0.14996795556505021"/>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1" tint="0.34998626667073579"/>
      </left>
      <right/>
      <top/>
      <bottom/>
      <diagonal/>
    </border>
    <border>
      <left style="thin">
        <color indexed="64"/>
      </left>
      <right/>
      <top/>
      <bottom/>
      <diagonal/>
    </border>
  </borders>
  <cellStyleXfs count="1">
    <xf numFmtId="0" fontId="0" fillId="0" borderId="0"/>
  </cellStyleXfs>
  <cellXfs count="31">
    <xf numFmtId="0" fontId="0" fillId="0" borderId="0" xfId="0"/>
    <xf numFmtId="0" fontId="1" fillId="0" borderId="0" xfId="0" applyFont="1"/>
    <xf numFmtId="0" fontId="0" fillId="2" borderId="0" xfId="0" applyFill="1" applyBorder="1"/>
    <xf numFmtId="0" fontId="2" fillId="2" borderId="0" xfId="0" applyFont="1" applyFill="1" applyBorder="1"/>
    <xf numFmtId="0" fontId="0" fillId="0" borderId="1" xfId="0" applyBorder="1"/>
    <xf numFmtId="49" fontId="3" fillId="3" borderId="0" xfId="0" applyNumberFormat="1" applyFont="1" applyFill="1" applyBorder="1" applyAlignment="1">
      <alignment horizontal="left" vertical="center" wrapText="1"/>
    </xf>
    <xf numFmtId="0" fontId="2" fillId="4" borderId="2" xfId="0" applyNumberFormat="1" applyFont="1" applyFill="1" applyBorder="1" applyAlignment="1" applyProtection="1">
      <alignment horizontal="center" vertical="center" wrapText="1"/>
      <protection locked="0"/>
    </xf>
    <xf numFmtId="0" fontId="4" fillId="0" borderId="0" xfId="0" applyFont="1"/>
    <xf numFmtId="0" fontId="6" fillId="0" borderId="0" xfId="0" applyFont="1"/>
    <xf numFmtId="0" fontId="5" fillId="5" borderId="0" xfId="0" applyFont="1" applyFill="1" applyBorder="1" applyAlignment="1">
      <alignment horizontal="center" vertical="center" wrapText="1"/>
    </xf>
    <xf numFmtId="0" fontId="6" fillId="0" borderId="0" xfId="0" applyFont="1" applyBorder="1"/>
    <xf numFmtId="0" fontId="0" fillId="0" borderId="0" xfId="0" applyBorder="1"/>
    <xf numFmtId="0" fontId="0" fillId="0" borderId="0" xfId="0" applyNumberFormat="1" applyBorder="1"/>
    <xf numFmtId="14" fontId="0" fillId="0" borderId="0" xfId="0" applyNumberFormat="1"/>
    <xf numFmtId="0" fontId="5" fillId="6" borderId="0" xfId="0" applyFont="1" applyFill="1" applyBorder="1" applyAlignment="1">
      <alignment horizontal="center" vertical="center" wrapText="1"/>
    </xf>
    <xf numFmtId="0" fontId="0" fillId="0" borderId="0" xfId="0" applyNumberFormat="1"/>
    <xf numFmtId="0" fontId="5" fillId="6" borderId="0" xfId="0" applyFont="1" applyFill="1" applyAlignment="1">
      <alignment horizontal="center" vertical="center" wrapText="1"/>
    </xf>
    <xf numFmtId="0" fontId="0" fillId="0" borderId="3" xfId="0" applyBorder="1"/>
    <xf numFmtId="0" fontId="0" fillId="0" borderId="4" xfId="0" applyFill="1" applyBorder="1"/>
    <xf numFmtId="0" fontId="5" fillId="7" borderId="0" xfId="0" applyFont="1" applyFill="1" applyAlignment="1">
      <alignment horizontal="center" vertical="center" wrapText="1"/>
    </xf>
    <xf numFmtId="0" fontId="0" fillId="0" borderId="0" xfId="0" pivotButton="1"/>
    <xf numFmtId="0" fontId="0" fillId="0" borderId="0" xfId="0" applyAlignment="1">
      <alignment horizontal="left"/>
    </xf>
    <xf numFmtId="0" fontId="0" fillId="0" borderId="0" xfId="0" applyAlignment="1">
      <alignment horizontal="right"/>
    </xf>
    <xf numFmtId="164" fontId="0" fillId="0" borderId="0" xfId="0" applyNumberFormat="1"/>
    <xf numFmtId="10" fontId="0" fillId="0" borderId="0" xfId="0" applyNumberFormat="1"/>
    <xf numFmtId="0" fontId="0" fillId="0" borderId="5" xfId="0" applyBorder="1"/>
    <xf numFmtId="3" fontId="0" fillId="0" borderId="0" xfId="0" applyNumberFormat="1"/>
    <xf numFmtId="0" fontId="5" fillId="0" borderId="0" xfId="0" applyFont="1" applyFill="1" applyAlignment="1">
      <alignment horizontal="center" vertical="center" wrapText="1"/>
    </xf>
    <xf numFmtId="0" fontId="0" fillId="0" borderId="0" xfId="0" applyAlignment="1">
      <alignment horizontal="left" indent="1"/>
    </xf>
    <xf numFmtId="0" fontId="0" fillId="0" borderId="0" xfId="0" applyAlignment="1">
      <alignment horizontal="left" indent="2"/>
    </xf>
    <xf numFmtId="0" fontId="9" fillId="0" borderId="1" xfId="0" applyFont="1" applyBorder="1"/>
  </cellXfs>
  <cellStyles count="1">
    <cellStyle name="Normal" xfId="0" builtinId="0" customBuiltin="1"/>
  </cellStyles>
  <dxfs count="34">
    <dxf>
      <font>
        <b val="0"/>
        <i val="0"/>
        <strike val="0"/>
        <condense val="0"/>
        <extend val="0"/>
        <outline val="0"/>
        <shadow val="0"/>
        <u val="none"/>
        <vertAlign val="baseline"/>
        <sz val="8"/>
        <color theme="1"/>
        <name val="Arial"/>
        <family val="2"/>
        <scheme val="none"/>
      </font>
    </dxf>
    <dxf>
      <border outline="0">
        <bottom style="medium">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yyyy/mm/dd"/>
    </dxf>
    <dxf>
      <font>
        <b val="0"/>
        <i val="0"/>
        <strike val="0"/>
        <condense val="0"/>
        <extend val="0"/>
        <outline val="0"/>
        <shadow val="0"/>
        <u val="none"/>
        <vertAlign val="baseline"/>
        <sz val="10"/>
        <color theme="1"/>
        <name val="Arial"/>
        <family val="2"/>
        <scheme val="minor"/>
      </font>
    </dxf>
    <dxf>
      <font>
        <b/>
        <i val="0"/>
        <strike val="0"/>
        <condense val="0"/>
        <extend val="0"/>
        <outline val="0"/>
        <shadow val="0"/>
        <u val="none"/>
        <vertAlign val="baseline"/>
        <sz val="10"/>
        <color indexed="9"/>
        <name val="Arial"/>
        <family val="2"/>
        <scheme val="minor"/>
      </font>
      <fill>
        <patternFill patternType="solid">
          <fgColor indexed="64"/>
          <bgColor theme="1" tint="0.34998626667073579"/>
        </patternFill>
      </fill>
      <alignment horizontal="center" vertical="center" textRotation="0" wrapText="1" indent="0" justifyLastLine="0" shrinkToFit="0" readingOrder="0"/>
    </dxf>
    <dxf>
      <numFmt numFmtId="14" formatCode="0.00%"/>
    </dxf>
    <dxf>
      <alignment horizontal="right"/>
    </dxf>
    <dxf>
      <numFmt numFmtId="164" formatCode="&quot;$&quot;#,##0"/>
    </dxf>
    <dxf>
      <alignment horizontal="right"/>
    </dxf>
    <dxf>
      <alignment horizontal="right"/>
    </dxf>
    <dxf>
      <numFmt numFmtId="14" formatCode="0.00%"/>
    </dxf>
    <dxf>
      <alignment horizontal="right"/>
    </dxf>
    <dxf>
      <numFmt numFmtId="3" formatCode="#,##0"/>
    </dxf>
    <dxf>
      <alignment horizontal="right"/>
    </dxf>
    <dxf>
      <alignment horizontal="right"/>
    </dxf>
    <dxf>
      <border>
        <bottom style="medium">
          <color auto="1"/>
        </bottom>
      </border>
    </dxf>
    <dxf>
      <font>
        <b/>
        <color theme="1"/>
      </font>
      <border>
        <bottom style="thin">
          <color theme="6"/>
        </bottom>
        <vertical/>
        <horizontal/>
      </border>
    </dxf>
    <dxf>
      <font>
        <color theme="1"/>
      </font>
      <border diagonalUp="0" diagonalDown="0">
        <left/>
        <right/>
        <top/>
        <bottom/>
        <vertical/>
        <horizontal/>
      </border>
    </dxf>
    <dxf>
      <border>
        <top style="thin">
          <color theme="1" tint="0.499984740745262"/>
        </top>
        <bottom style="thin">
          <color theme="1" tint="0.499984740745262"/>
        </bottom>
        <vertical style="thick">
          <color theme="0"/>
        </vertical>
      </border>
    </dxf>
    <dxf>
      <border>
        <top/>
        <bottom style="thin">
          <color theme="1" tint="0.499984740745262"/>
        </bottom>
      </border>
    </dxf>
    <dxf>
      <font>
        <b/>
        <color theme="1" tint="0.499984740745262"/>
      </font>
    </dxf>
    <dxf>
      <font>
        <b/>
        <color theme="1"/>
      </font>
    </dxf>
    <dxf>
      <font>
        <b/>
        <color theme="1" tint="0.499984740745262"/>
      </font>
    </dxf>
    <dxf>
      <font>
        <b/>
        <color theme="1"/>
      </font>
    </dxf>
    <dxf>
      <fill>
        <patternFill patternType="solid">
          <fgColor theme="0" tint="-0.14999847407452621"/>
          <bgColor theme="0" tint="-0.14999847407452621"/>
        </patternFill>
      </fill>
      <border>
        <left style="thin">
          <color theme="0" tint="-0.34998626667073579"/>
        </left>
        <right style="thin">
          <color theme="0" tint="-0.34998626667073579"/>
        </right>
        <top/>
        <bottom style="thin">
          <color theme="0" tint="-0.34998626667073579"/>
        </bottom>
        <vertical style="thin">
          <color theme="0" tint="-0.34998626667073579"/>
        </vertical>
        <horizontal style="thin">
          <color theme="0" tint="-0.34998626667073579"/>
        </horizontal>
      </border>
    </dxf>
    <dxf>
      <fill>
        <patternFill patternType="solid">
          <fgColor theme="0" tint="-0.14999847407452621"/>
          <bgColor theme="0" tint="-0.14999847407452621"/>
        </patternFill>
      </fill>
      <border>
        <top/>
        <bottom style="thin">
          <color theme="0" tint="-0.34998626667073579"/>
        </bottom>
      </border>
    </dxf>
    <dxf>
      <font>
        <b/>
        <color theme="1"/>
      </font>
      <fill>
        <patternFill patternType="solid">
          <fgColor theme="0"/>
          <bgColor theme="0"/>
        </patternFill>
      </fill>
      <border>
        <top style="thin">
          <color theme="1" tint="0.499984740745262"/>
        </top>
        <bottom style="thin">
          <color theme="1" tint="0.499984740745262"/>
        </bottom>
      </border>
    </dxf>
    <dxf>
      <font>
        <b/>
        <color theme="1"/>
      </font>
      <border>
        <top/>
        <bottom style="thin">
          <color theme="1" tint="0.499984740745262"/>
        </bottom>
      </border>
    </dxf>
    <dxf>
      <font>
        <color theme="1"/>
      </font>
      <border>
        <left style="thin">
          <color theme="0"/>
        </left>
        <right style="thin">
          <color theme="0"/>
        </right>
        <top style="thin">
          <color theme="0"/>
        </top>
        <vertical style="thick">
          <color theme="0"/>
        </vertical>
        <horizontal style="thin">
          <color theme="0" tint="-0.14999847407452621"/>
        </horizontal>
      </border>
    </dxf>
  </dxfs>
  <tableStyles count="3" defaultTableStyle="TableStyleMedium2" defaultPivotStyle="PivotStyleLight16">
    <tableStyle name="MyPivotStyle" table="0" count="11" xr9:uid="{00000000-0011-0000-FFFF-FFFF00000000}">
      <tableStyleElement type="wholeTable" dxfId="33"/>
      <tableStyleElement type="headerRow" dxfId="32"/>
      <tableStyleElement type="totalRow" dxfId="31"/>
      <tableStyleElement type="firstRowStripe" dxfId="30"/>
      <tableStyleElement type="firstColumnStripe" dxfId="29"/>
      <tableStyleElement type="firstSubtotalRow" dxfId="28"/>
      <tableStyleElement type="secondSubtotalRow" dxfId="27"/>
      <tableStyleElement type="firstRowSubheading" dxfId="26"/>
      <tableStyleElement type="secondRowSubheading" dxfId="25"/>
      <tableStyleElement type="pageFieldLabels" dxfId="24"/>
      <tableStyleElement type="pageFieldValues" dxfId="23"/>
    </tableStyle>
    <tableStyle name="MySlicer" pivot="0" table="0" count="10" xr9:uid="{00000000-0011-0000-FFFF-FFFF01000000}">
      <tableStyleElement type="wholeTable" dxfId="22"/>
      <tableStyleElement type="headerRow" dxfId="21"/>
    </tableStyle>
    <tableStyle name="Table Style 1" pivot="0" count="1" xr9:uid="{00000000-0011-0000-FFFF-FFFF02000000}">
      <tableStyleElement type="wholeTable" dxfId="20"/>
    </tableStyle>
  </tableStyles>
  <colors>
    <mruColors>
      <color rgb="FFFBFBFB"/>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6" tint="0.79998168889431442"/>
              <bgColor theme="6" tint="0.79998168889431442"/>
            </patternFill>
          </fill>
          <border>
            <left style="thin">
              <color rgb="FFCCCCCC"/>
            </left>
            <right style="thin">
              <color rgb="FFCCCCCC"/>
            </right>
            <top style="thin">
              <color rgb="FFCCCCCC"/>
            </top>
            <bottom style="thin">
              <color rgb="FFCCCCCC"/>
            </bottom>
            <vertical/>
            <horizontal/>
          </border>
        </dxf>
        <dxf>
          <font>
            <color theme="0"/>
          </font>
          <fill>
            <patternFill patternType="solid">
              <fgColor theme="6" tint="0.59999389629810485"/>
              <bgColor theme="1" tint="0.49998474074526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BFBFB"/>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MySlicer">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[Monthly_Sales_Reporting_Template _Final.xlsm]RegionTemp!PTRegion</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RegionTemp!$T$3</c:f>
              <c:strCache>
                <c:ptCount val="1"/>
                <c:pt idx="0">
                  <c:v>$ Sales</c:v>
                </c:pt>
              </c:strCache>
            </c:strRef>
          </c:tx>
          <c:spPr>
            <a:solidFill>
              <a:schemeClr val="accent1"/>
            </a:solidFill>
            <a:ln>
              <a:noFill/>
            </a:ln>
            <a:effectLst/>
          </c:spPr>
          <c:invertIfNegative val="0"/>
          <c:cat>
            <c:strRef>
              <c:f>RegionTemp!$S$4:$S$6</c:f>
              <c:strCache>
                <c:ptCount val="2"/>
                <c:pt idx="0">
                  <c:v>Erma</c:v>
                </c:pt>
                <c:pt idx="1">
                  <c:v>Dellicia</c:v>
                </c:pt>
              </c:strCache>
            </c:strRef>
          </c:cat>
          <c:val>
            <c:numRef>
              <c:f>RegionTemp!$T$4:$T$6</c:f>
              <c:numCache>
                <c:formatCode>"$"#,##0</c:formatCode>
                <c:ptCount val="2"/>
                <c:pt idx="0">
                  <c:v>28620</c:v>
                </c:pt>
                <c:pt idx="1">
                  <c:v>37480</c:v>
                </c:pt>
              </c:numCache>
            </c:numRef>
          </c:val>
          <c:extLst>
            <c:ext xmlns:c16="http://schemas.microsoft.com/office/drawing/2014/chart" uri="{C3380CC4-5D6E-409C-BE32-E72D297353CC}">
              <c16:uniqueId val="{00000000-207E-44F4-AE7F-D927F5C7F71A}"/>
            </c:ext>
          </c:extLst>
        </c:ser>
        <c:ser>
          <c:idx val="1"/>
          <c:order val="1"/>
          <c:tx>
            <c:strRef>
              <c:f>RegionTemp!$U$3</c:f>
              <c:strCache>
                <c:ptCount val="1"/>
                <c:pt idx="0">
                  <c:v>%</c:v>
                </c:pt>
              </c:strCache>
            </c:strRef>
          </c:tx>
          <c:spPr>
            <a:solidFill>
              <a:schemeClr val="accent2"/>
            </a:solidFill>
            <a:ln>
              <a:noFill/>
            </a:ln>
            <a:effectLst/>
          </c:spPr>
          <c:invertIfNegative val="0"/>
          <c:cat>
            <c:strRef>
              <c:f>RegionTemp!$S$4:$S$6</c:f>
              <c:strCache>
                <c:ptCount val="2"/>
                <c:pt idx="0">
                  <c:v>Erma</c:v>
                </c:pt>
                <c:pt idx="1">
                  <c:v>Dellicia</c:v>
                </c:pt>
              </c:strCache>
            </c:strRef>
          </c:cat>
          <c:val>
            <c:numRef>
              <c:f>RegionTemp!$U$4:$U$6</c:f>
              <c:numCache>
                <c:formatCode>0.00%</c:formatCode>
                <c:ptCount val="2"/>
                <c:pt idx="0">
                  <c:v>0.43298033282904691</c:v>
                </c:pt>
                <c:pt idx="1">
                  <c:v>0.56701966717095309</c:v>
                </c:pt>
              </c:numCache>
            </c:numRef>
          </c:val>
          <c:extLst>
            <c:ext xmlns:c16="http://schemas.microsoft.com/office/drawing/2014/chart" uri="{C3380CC4-5D6E-409C-BE32-E72D297353CC}">
              <c16:uniqueId val="{00000044-DF53-4AF4-93E4-6A5408CC2110}"/>
            </c:ext>
          </c:extLst>
        </c:ser>
        <c:dLbls>
          <c:showLegendKey val="0"/>
          <c:showVal val="0"/>
          <c:showCatName val="0"/>
          <c:showSerName val="0"/>
          <c:showPercent val="0"/>
          <c:showBubbleSize val="0"/>
        </c:dLbls>
        <c:gapWidth val="219"/>
        <c:overlap val="100"/>
        <c:axId val="438684824"/>
        <c:axId val="438686464"/>
      </c:barChart>
      <c:catAx>
        <c:axId val="43868482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8686464"/>
        <c:crosses val="autoZero"/>
        <c:auto val="1"/>
        <c:lblAlgn val="ctr"/>
        <c:lblOffset val="100"/>
        <c:noMultiLvlLbl val="0"/>
      </c:catAx>
      <c:valAx>
        <c:axId val="438686464"/>
        <c:scaling>
          <c:orientation val="minMax"/>
        </c:scaling>
        <c:delete val="0"/>
        <c:axPos val="b"/>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86848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9.svg"/><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svg"/><Relationship Id="rId1" Type="http://schemas.openxmlformats.org/officeDocument/2006/relationships/image" Target="../media/image2.png"/><Relationship Id="rId6" Type="http://schemas.openxmlformats.org/officeDocument/2006/relationships/image" Target="../media/image7.svg"/><Relationship Id="rId5" Type="http://schemas.openxmlformats.org/officeDocument/2006/relationships/image" Target="../media/image6.png"/><Relationship Id="rId10" Type="http://schemas.openxmlformats.org/officeDocument/2006/relationships/image" Target="../media/image11.svg"/><Relationship Id="rId4" Type="http://schemas.openxmlformats.org/officeDocument/2006/relationships/image" Target="../media/image5.svg"/><Relationship Id="rId9" Type="http://schemas.openxmlformats.org/officeDocument/2006/relationships/image" Target="../media/image10.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12</xdr:col>
      <xdr:colOff>320386</xdr:colOff>
      <xdr:row>0</xdr:row>
      <xdr:rowOff>77933</xdr:rowOff>
    </xdr:from>
    <xdr:ext cx="2260023" cy="320386"/>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7706591" y="77933"/>
          <a:ext cx="2260023" cy="3203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2000">
              <a:solidFill>
                <a:schemeClr val="tx1"/>
              </a:solidFill>
              <a:latin typeface="Matura MT Script Capitals" panose="03020802060602070202" pitchFamily="66" charset="0"/>
            </a:rPr>
            <a:t>Urban Creations</a:t>
          </a:r>
        </a:p>
      </xdr:txBody>
    </xdr:sp>
    <xdr:clientData/>
  </xdr:oneCellAnchor>
  <xdr:oneCellAnchor>
    <xdr:from>
      <xdr:col>0</xdr:col>
      <xdr:colOff>251113</xdr:colOff>
      <xdr:row>0</xdr:row>
      <xdr:rowOff>112568</xdr:rowOff>
    </xdr:from>
    <xdr:ext cx="4788478" cy="298800"/>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251113" y="112568"/>
          <a:ext cx="4788478" cy="298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400">
              <a:solidFill>
                <a:schemeClr val="tx1">
                  <a:lumMod val="85000"/>
                  <a:lumOff val="15000"/>
                </a:schemeClr>
              </a:solidFill>
            </a:rPr>
            <a:t>Monthly</a:t>
          </a:r>
          <a:r>
            <a:rPr lang="en-US" sz="1400" baseline="0">
              <a:solidFill>
                <a:schemeClr val="tx1">
                  <a:lumMod val="85000"/>
                  <a:lumOff val="15000"/>
                </a:schemeClr>
              </a:solidFill>
            </a:rPr>
            <a:t> Sales Reporting Data Preparation Template</a:t>
          </a:r>
          <a:endParaRPr lang="en-US" sz="1400">
            <a:solidFill>
              <a:schemeClr val="tx1">
                <a:lumMod val="85000"/>
                <a:lumOff val="15000"/>
              </a:schemeClr>
            </a:solidFill>
          </a:endParaRPr>
        </a:p>
      </xdr:txBody>
    </xdr:sp>
    <xdr:clientData/>
  </xdr:oneCellAnchor>
  <mc:AlternateContent xmlns:mc="http://schemas.openxmlformats.org/markup-compatibility/2006">
    <mc:Choice xmlns:a14="http://schemas.microsoft.com/office/drawing/2010/main" Requires="a14">
      <xdr:twoCellAnchor editAs="oneCell">
        <xdr:from>
          <xdr:col>5</xdr:col>
          <xdr:colOff>561975</xdr:colOff>
          <xdr:row>16</xdr:row>
          <xdr:rowOff>28575</xdr:rowOff>
        </xdr:from>
        <xdr:to>
          <xdr:col>8</xdr:col>
          <xdr:colOff>342900</xdr:colOff>
          <xdr:row>18</xdr:row>
          <xdr:rowOff>47625</xdr:rowOff>
        </xdr:to>
        <xdr:sp macro="" textlink="">
          <xdr:nvSpPr>
            <xdr:cNvPr id="1027" name="AxRegion"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95250</xdr:colOff>
      <xdr:row>4</xdr:row>
      <xdr:rowOff>77932</xdr:rowOff>
    </xdr:from>
    <xdr:to>
      <xdr:col>3</xdr:col>
      <xdr:colOff>389658</xdr:colOff>
      <xdr:row>11</xdr:row>
      <xdr:rowOff>112569</xdr:rowOff>
    </xdr:to>
    <xdr:sp macro="" textlink="">
      <xdr:nvSpPr>
        <xdr:cNvPr id="3" name="Rectangle: Top Corners One Rounded and One Snipped 2">
          <a:extLst>
            <a:ext uri="{FF2B5EF4-FFF2-40B4-BE49-F238E27FC236}">
              <a16:creationId xmlns:a16="http://schemas.microsoft.com/office/drawing/2014/main" id="{00000000-0008-0000-0000-000003000000}"/>
            </a:ext>
          </a:extLst>
        </xdr:cNvPr>
        <xdr:cNvSpPr/>
      </xdr:nvSpPr>
      <xdr:spPr>
        <a:xfrm>
          <a:off x="363682" y="917864"/>
          <a:ext cx="2225385" cy="1186296"/>
        </a:xfrm>
        <a:prstGeom prst="snipRoundRect">
          <a:avLst/>
        </a:prstGeom>
        <a:solidFill>
          <a:schemeClr val="accent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1100">
              <a:latin typeface="Times New Roman" panose="02020603050405020304" pitchFamily="18" charset="0"/>
              <a:cs typeface="Times New Roman" panose="02020603050405020304" pitchFamily="18" charset="0"/>
            </a:rPr>
            <a:t>Import Sales data from Sales Document</a:t>
          </a:r>
          <a:r>
            <a:rPr lang="en-CA" sz="1100" baseline="0">
              <a:latin typeface="Times New Roman" panose="02020603050405020304" pitchFamily="18" charset="0"/>
              <a:cs typeface="Times New Roman" panose="02020603050405020304" pitchFamily="18" charset="0"/>
            </a:rPr>
            <a:t> templates for one or more companies in one go.</a:t>
          </a:r>
          <a:r>
            <a:rPr lang="en-CA" sz="1100">
              <a:latin typeface="Times New Roman" panose="02020603050405020304" pitchFamily="18" charset="0"/>
              <a:cs typeface="Times New Roman" panose="02020603050405020304" pitchFamily="18" charset="0"/>
            </a:rPr>
            <a:t> </a:t>
          </a:r>
        </a:p>
        <a:p>
          <a:pPr algn="l"/>
          <a:r>
            <a:rPr lang="en-CA" sz="1100">
              <a:latin typeface="Times New Roman" panose="02020603050405020304" pitchFamily="18" charset="0"/>
              <a:cs typeface="Times New Roman" panose="02020603050405020304" pitchFamily="18" charset="0"/>
            </a:rPr>
            <a:t>(Note: Browse and find the files,</a:t>
          </a:r>
          <a:r>
            <a:rPr lang="en-CA" sz="1100" baseline="0">
              <a:latin typeface="Times New Roman" panose="02020603050405020304" pitchFamily="18" charset="0"/>
              <a:cs typeface="Times New Roman" panose="02020603050405020304" pitchFamily="18" charset="0"/>
            </a:rPr>
            <a:t> starts with "Sales_Document_xxx"</a:t>
          </a:r>
          <a:endParaRPr lang="en-CA" sz="1100">
            <a:latin typeface="Times New Roman" panose="02020603050405020304" pitchFamily="18" charset="0"/>
            <a:cs typeface="Times New Roman" panose="02020603050405020304" pitchFamily="18" charset="0"/>
          </a:endParaRPr>
        </a:p>
      </xdr:txBody>
    </xdr:sp>
    <xdr:clientData/>
  </xdr:twoCellAnchor>
  <xdr:twoCellAnchor>
    <xdr:from>
      <xdr:col>5</xdr:col>
      <xdr:colOff>169717</xdr:colOff>
      <xdr:row>4</xdr:row>
      <xdr:rowOff>77931</xdr:rowOff>
    </xdr:from>
    <xdr:to>
      <xdr:col>8</xdr:col>
      <xdr:colOff>381000</xdr:colOff>
      <xdr:row>11</xdr:row>
      <xdr:rowOff>100445</xdr:rowOff>
    </xdr:to>
    <xdr:sp macro="" textlink="">
      <xdr:nvSpPr>
        <xdr:cNvPr id="10" name="Rectangle: Top Corners One Rounded and One Snipped 9">
          <a:extLst>
            <a:ext uri="{FF2B5EF4-FFF2-40B4-BE49-F238E27FC236}">
              <a16:creationId xmlns:a16="http://schemas.microsoft.com/office/drawing/2014/main" id="{00000000-0008-0000-0000-00000A000000}"/>
            </a:ext>
          </a:extLst>
        </xdr:cNvPr>
        <xdr:cNvSpPr/>
      </xdr:nvSpPr>
      <xdr:spPr>
        <a:xfrm>
          <a:off x="3364922" y="917863"/>
          <a:ext cx="1977737" cy="1174173"/>
        </a:xfrm>
        <a:prstGeom prst="snipRoundRect">
          <a:avLst/>
        </a:prstGeom>
        <a:solidFill>
          <a:schemeClr val="accent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1100">
              <a:latin typeface="Times New Roman" panose="02020603050405020304" pitchFamily="18" charset="0"/>
              <a:cs typeface="Times New Roman" panose="02020603050405020304" pitchFamily="18" charset="0"/>
            </a:rPr>
            <a:t>Generate Regional</a:t>
          </a:r>
          <a:r>
            <a:rPr lang="en-CA" sz="1100" baseline="0">
              <a:latin typeface="Times New Roman" panose="02020603050405020304" pitchFamily="18" charset="0"/>
              <a:cs typeface="Times New Roman" panose="02020603050405020304" pitchFamily="18" charset="0"/>
            </a:rPr>
            <a:t> Manager Reports for each region. (Create a pivot based Excel file for Regional managers and a hardcoded file for Top  managers</a:t>
          </a:r>
          <a:endParaRPr lang="en-CA" sz="1100">
            <a:latin typeface="Times New Roman" panose="02020603050405020304" pitchFamily="18" charset="0"/>
            <a:cs typeface="Times New Roman" panose="02020603050405020304" pitchFamily="18" charset="0"/>
          </a:endParaRPr>
        </a:p>
      </xdr:txBody>
    </xdr:sp>
    <xdr:clientData/>
  </xdr:twoCellAnchor>
  <xdr:twoCellAnchor>
    <xdr:from>
      <xdr:col>9</xdr:col>
      <xdr:colOff>140278</xdr:colOff>
      <xdr:row>4</xdr:row>
      <xdr:rowOff>77931</xdr:rowOff>
    </xdr:from>
    <xdr:to>
      <xdr:col>12</xdr:col>
      <xdr:colOff>36368</xdr:colOff>
      <xdr:row>11</xdr:row>
      <xdr:rowOff>114299</xdr:rowOff>
    </xdr:to>
    <xdr:sp macro="" textlink="">
      <xdr:nvSpPr>
        <xdr:cNvPr id="11" name="Rectangle: Top Corners One Rounded and One Snipped 10">
          <a:extLst>
            <a:ext uri="{FF2B5EF4-FFF2-40B4-BE49-F238E27FC236}">
              <a16:creationId xmlns:a16="http://schemas.microsoft.com/office/drawing/2014/main" id="{00000000-0008-0000-0000-00000B000000}"/>
            </a:ext>
          </a:extLst>
        </xdr:cNvPr>
        <xdr:cNvSpPr/>
      </xdr:nvSpPr>
      <xdr:spPr>
        <a:xfrm>
          <a:off x="5708073" y="917863"/>
          <a:ext cx="1714500" cy="1188027"/>
        </a:xfrm>
        <a:prstGeom prst="snipRoundRect">
          <a:avLst/>
        </a:prstGeom>
        <a:solidFill>
          <a:schemeClr val="accent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1100">
              <a:latin typeface="Times New Roman" panose="02020603050405020304" pitchFamily="18" charset="0"/>
              <a:cs typeface="Times New Roman" panose="02020603050405020304" pitchFamily="18" charset="0"/>
            </a:rPr>
            <a:t>Create CSV file of ALL data for the current month to be uploaded to the central system for year-to-date reporting</a:t>
          </a:r>
          <a:r>
            <a:rPr lang="en-CA" sz="1100" baseline="0">
              <a:latin typeface="Times New Roman" panose="02020603050405020304" pitchFamily="18" charset="0"/>
              <a:cs typeface="Times New Roman" panose="02020603050405020304" pitchFamily="18" charset="0"/>
            </a:rPr>
            <a:t> (e.g. SAP)</a:t>
          </a:r>
          <a:endParaRPr lang="en-CA" sz="1100">
            <a:latin typeface="Times New Roman" panose="02020603050405020304" pitchFamily="18" charset="0"/>
            <a:cs typeface="Times New Roman" panose="02020603050405020304" pitchFamily="18" charset="0"/>
          </a:endParaRPr>
        </a:p>
      </xdr:txBody>
    </xdr:sp>
    <xdr:clientData/>
  </xdr:twoCellAnchor>
  <xdr:twoCellAnchor>
    <xdr:from>
      <xdr:col>12</xdr:col>
      <xdr:colOff>517813</xdr:colOff>
      <xdr:row>3</xdr:row>
      <xdr:rowOff>155862</xdr:rowOff>
    </xdr:from>
    <xdr:to>
      <xdr:col>15</xdr:col>
      <xdr:colOff>413904</xdr:colOff>
      <xdr:row>11</xdr:row>
      <xdr:rowOff>119493</xdr:rowOff>
    </xdr:to>
    <xdr:sp macro="" textlink="">
      <xdr:nvSpPr>
        <xdr:cNvPr id="12" name="Rectangle: Top Corners One Rounded and One Snipped 11">
          <a:extLst>
            <a:ext uri="{FF2B5EF4-FFF2-40B4-BE49-F238E27FC236}">
              <a16:creationId xmlns:a16="http://schemas.microsoft.com/office/drawing/2014/main" id="{00000000-0008-0000-0000-00000C000000}"/>
            </a:ext>
          </a:extLst>
        </xdr:cNvPr>
        <xdr:cNvSpPr/>
      </xdr:nvSpPr>
      <xdr:spPr>
        <a:xfrm>
          <a:off x="7904018" y="831271"/>
          <a:ext cx="1714500" cy="1279813"/>
        </a:xfrm>
        <a:prstGeom prst="snipRoundRect">
          <a:avLst/>
        </a:prstGeom>
        <a:solidFill>
          <a:schemeClr val="accent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1100">
              <a:latin typeface="Times New Roman" panose="02020603050405020304" pitchFamily="18" charset="0"/>
              <a:cs typeface="Times New Roman" panose="02020603050405020304" pitchFamily="18" charset="0"/>
            </a:rPr>
            <a:t>Before</a:t>
          </a:r>
          <a:r>
            <a:rPr lang="en-CA" sz="1100" baseline="0">
              <a:latin typeface="Times New Roman" panose="02020603050405020304" pitchFamily="18" charset="0"/>
              <a:cs typeface="Times New Roman" panose="02020603050405020304" pitchFamily="18" charset="0"/>
            </a:rPr>
            <a:t> working on the next month's data, clear values and start fresh.</a:t>
          </a:r>
        </a:p>
        <a:p>
          <a:pPr algn="l"/>
          <a:r>
            <a:rPr lang="en-CA" sz="1100" baseline="0">
              <a:latin typeface="Times New Roman" panose="02020603050405020304" pitchFamily="18" charset="0"/>
              <a:cs typeface="Times New Roman" panose="02020603050405020304" pitchFamily="18" charset="0"/>
            </a:rPr>
            <a:t>Admin opens up the hidden tabs in case problems arise.</a:t>
          </a:r>
        </a:p>
        <a:p>
          <a:pPr algn="l"/>
          <a:r>
            <a:rPr lang="en-CA" sz="1100" baseline="0">
              <a:latin typeface="Times New Roman" panose="02020603050405020304" pitchFamily="18" charset="0"/>
              <a:cs typeface="Times New Roman" panose="02020603050405020304" pitchFamily="18" charset="0"/>
            </a:rPr>
            <a:t>Password = me</a:t>
          </a:r>
          <a:endParaRPr lang="en-CA" sz="1100">
            <a:latin typeface="Times New Roman" panose="02020603050405020304" pitchFamily="18" charset="0"/>
            <a:cs typeface="Times New Roman" panose="02020603050405020304" pitchFamily="18" charset="0"/>
          </a:endParaRPr>
        </a:p>
      </xdr:txBody>
    </xdr:sp>
    <xdr:clientData/>
  </xdr:twoCellAnchor>
  <xdr:twoCellAnchor>
    <xdr:from>
      <xdr:col>0</xdr:col>
      <xdr:colOff>181840</xdr:colOff>
      <xdr:row>11</xdr:row>
      <xdr:rowOff>69273</xdr:rowOff>
    </xdr:from>
    <xdr:to>
      <xdr:col>3</xdr:col>
      <xdr:colOff>390525</xdr:colOff>
      <xdr:row>16</xdr:row>
      <xdr:rowOff>161059</xdr:rowOff>
    </xdr:to>
    <xdr:grpSp>
      <xdr:nvGrpSpPr>
        <xdr:cNvPr id="22" name="Group 21">
          <a:extLst>
            <a:ext uri="{FF2B5EF4-FFF2-40B4-BE49-F238E27FC236}">
              <a16:creationId xmlns:a16="http://schemas.microsoft.com/office/drawing/2014/main" id="{00000000-0008-0000-0000-000016000000}"/>
            </a:ext>
          </a:extLst>
        </xdr:cNvPr>
        <xdr:cNvGrpSpPr/>
      </xdr:nvGrpSpPr>
      <xdr:grpSpPr>
        <a:xfrm>
          <a:off x="181840" y="2060864"/>
          <a:ext cx="2408094" cy="914400"/>
          <a:chOff x="181840" y="2060864"/>
          <a:chExt cx="2408094" cy="914400"/>
        </a:xfrm>
      </xdr:grpSpPr>
      <mc:AlternateContent xmlns:mc="http://schemas.openxmlformats.org/markup-compatibility/2006">
        <mc:Choice xmlns:a14="http://schemas.microsoft.com/office/drawing/2010/main" Requires="a14">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858982" y="2349211"/>
                <a:ext cx="1730952" cy="414771"/>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Import Sales</a:t>
                </a:r>
              </a:p>
            </xdr:txBody>
          </xdr:sp>
        </mc:Choice>
        <mc:Fallback/>
      </mc:AlternateContent>
      <xdr:pic macro="[0]!Import_Sales">
        <xdr:nvPicPr>
          <xdr:cNvPr id="6" name="Graphic 5" descr="Open folder">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81840" y="2060864"/>
            <a:ext cx="914400" cy="914400"/>
          </a:xfrm>
          <a:prstGeom prst="rect">
            <a:avLst/>
          </a:prstGeom>
        </xdr:spPr>
      </xdr:pic>
    </xdr:grpSp>
    <xdr:clientData/>
  </xdr:twoCellAnchor>
  <xdr:twoCellAnchor>
    <xdr:from>
      <xdr:col>4</xdr:col>
      <xdr:colOff>34635</xdr:colOff>
      <xdr:row>11</xdr:row>
      <xdr:rowOff>34637</xdr:rowOff>
    </xdr:from>
    <xdr:to>
      <xdr:col>8</xdr:col>
      <xdr:colOff>333375</xdr:colOff>
      <xdr:row>16</xdr:row>
      <xdr:rowOff>126423</xdr:rowOff>
    </xdr:to>
    <xdr:grpSp>
      <xdr:nvGrpSpPr>
        <xdr:cNvPr id="21" name="Group 20">
          <a:extLst>
            <a:ext uri="{FF2B5EF4-FFF2-40B4-BE49-F238E27FC236}">
              <a16:creationId xmlns:a16="http://schemas.microsoft.com/office/drawing/2014/main" id="{00000000-0008-0000-0000-000015000000}"/>
            </a:ext>
          </a:extLst>
        </xdr:cNvPr>
        <xdr:cNvGrpSpPr/>
      </xdr:nvGrpSpPr>
      <xdr:grpSpPr>
        <a:xfrm>
          <a:off x="2840180" y="2026228"/>
          <a:ext cx="2454854" cy="914400"/>
          <a:chOff x="2840180" y="2026228"/>
          <a:chExt cx="2454854" cy="914400"/>
        </a:xfrm>
      </xdr:grpSpPr>
      <mc:AlternateContent xmlns:mc="http://schemas.openxmlformats.org/markup-compatibility/2006">
        <mc:Choice xmlns:a14="http://schemas.microsoft.com/office/drawing/2010/main" Requires="a14">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3690505" y="2368261"/>
                <a:ext cx="1604529" cy="386196"/>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Reports</a:t>
                </a:r>
              </a:p>
            </xdr:txBody>
          </xdr:sp>
        </mc:Choice>
        <mc:Fallback/>
      </mc:AlternateContent>
      <xdr:pic macro="[0]!create_reports">
        <xdr:nvPicPr>
          <xdr:cNvPr id="8" name="Graphic 7" descr="Open book">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2840180" y="2026228"/>
            <a:ext cx="914400" cy="914400"/>
          </a:xfrm>
          <a:prstGeom prst="rect">
            <a:avLst/>
          </a:prstGeom>
        </xdr:spPr>
      </xdr:pic>
    </xdr:grpSp>
    <xdr:clientData/>
  </xdr:twoCellAnchor>
  <xdr:twoCellAnchor>
    <xdr:from>
      <xdr:col>8</xdr:col>
      <xdr:colOff>536865</xdr:colOff>
      <xdr:row>11</xdr:row>
      <xdr:rowOff>112567</xdr:rowOff>
    </xdr:from>
    <xdr:to>
      <xdr:col>11</xdr:col>
      <xdr:colOff>590550</xdr:colOff>
      <xdr:row>17</xdr:row>
      <xdr:rowOff>39831</xdr:rowOff>
    </xdr:to>
    <xdr:grpSp>
      <xdr:nvGrpSpPr>
        <xdr:cNvPr id="20" name="Group 19">
          <a:extLst>
            <a:ext uri="{FF2B5EF4-FFF2-40B4-BE49-F238E27FC236}">
              <a16:creationId xmlns:a16="http://schemas.microsoft.com/office/drawing/2014/main" id="{00000000-0008-0000-0000-000014000000}"/>
            </a:ext>
          </a:extLst>
        </xdr:cNvPr>
        <xdr:cNvGrpSpPr/>
      </xdr:nvGrpSpPr>
      <xdr:grpSpPr>
        <a:xfrm>
          <a:off x="5498524" y="2104158"/>
          <a:ext cx="1872094" cy="914400"/>
          <a:chOff x="5498524" y="2104158"/>
          <a:chExt cx="1872094" cy="914400"/>
        </a:xfrm>
      </xdr:grpSpPr>
      <mc:AlternateContent xmlns:mc="http://schemas.openxmlformats.org/markup-compatibility/2006">
        <mc:Choice xmlns:a14="http://schemas.microsoft.com/office/drawing/2010/main" Requires="a14">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5977370" y="2387311"/>
                <a:ext cx="1393248" cy="386196"/>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CSV</a:t>
                </a:r>
              </a:p>
            </xdr:txBody>
          </xdr:sp>
        </mc:Choice>
        <mc:Fallback/>
      </mc:AlternateContent>
      <xdr:pic macro="[0]!create_csv">
        <xdr:nvPicPr>
          <xdr:cNvPr id="13" name="Graphic 12" descr="Hammer">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5498524" y="2104158"/>
            <a:ext cx="914400" cy="914400"/>
          </a:xfrm>
          <a:prstGeom prst="rect">
            <a:avLst/>
          </a:prstGeom>
        </xdr:spPr>
      </xdr:pic>
    </xdr:grpSp>
    <xdr:clientData/>
  </xdr:twoCellAnchor>
  <xdr:twoCellAnchor>
    <xdr:from>
      <xdr:col>12</xdr:col>
      <xdr:colOff>164522</xdr:colOff>
      <xdr:row>11</xdr:row>
      <xdr:rowOff>51954</xdr:rowOff>
    </xdr:from>
    <xdr:to>
      <xdr:col>15</xdr:col>
      <xdr:colOff>409575</xdr:colOff>
      <xdr:row>16</xdr:row>
      <xdr:rowOff>143740</xdr:rowOff>
    </xdr:to>
    <xdr:grpSp>
      <xdr:nvGrpSpPr>
        <xdr:cNvPr id="19" name="Group 18">
          <a:extLst>
            <a:ext uri="{FF2B5EF4-FFF2-40B4-BE49-F238E27FC236}">
              <a16:creationId xmlns:a16="http://schemas.microsoft.com/office/drawing/2014/main" id="{00000000-0008-0000-0000-000013000000}"/>
            </a:ext>
          </a:extLst>
        </xdr:cNvPr>
        <xdr:cNvGrpSpPr/>
      </xdr:nvGrpSpPr>
      <xdr:grpSpPr>
        <a:xfrm>
          <a:off x="7550727" y="2043545"/>
          <a:ext cx="2063462" cy="914400"/>
          <a:chOff x="7550727" y="2043545"/>
          <a:chExt cx="2063462" cy="914400"/>
        </a:xfrm>
      </xdr:grpSpPr>
      <mc:AlternateContent xmlns:mc="http://schemas.openxmlformats.org/markup-compatibility/2006">
        <mc:Choice xmlns:a14="http://schemas.microsoft.com/office/drawing/2010/main" Requires="a14">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8239991" y="2377786"/>
                <a:ext cx="1374198" cy="386196"/>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Data &amp; Tasks</a:t>
                </a:r>
              </a:p>
            </xdr:txBody>
          </xdr:sp>
        </mc:Choice>
        <mc:Fallback/>
      </mc:AlternateContent>
      <xdr:pic macro="[0]!clear_oldmonth">
        <xdr:nvPicPr>
          <xdr:cNvPr id="15" name="Graphic 14" descr="Eraser">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7550727" y="2043545"/>
            <a:ext cx="914400" cy="914400"/>
          </a:xfrm>
          <a:prstGeom prst="rect">
            <a:avLst/>
          </a:prstGeom>
        </xdr:spPr>
      </xdr:pic>
    </xdr:grpSp>
    <xdr:clientData/>
  </xdr:twoCellAnchor>
  <xdr:twoCellAnchor>
    <xdr:from>
      <xdr:col>12</xdr:col>
      <xdr:colOff>277091</xdr:colOff>
      <xdr:row>16</xdr:row>
      <xdr:rowOff>112568</xdr:rowOff>
    </xdr:from>
    <xdr:to>
      <xdr:col>15</xdr:col>
      <xdr:colOff>409575</xdr:colOff>
      <xdr:row>22</xdr:row>
      <xdr:rowOff>39832</xdr:rowOff>
    </xdr:to>
    <xdr:grpSp>
      <xdr:nvGrpSpPr>
        <xdr:cNvPr id="18" name="Group 17">
          <a:extLst>
            <a:ext uri="{FF2B5EF4-FFF2-40B4-BE49-F238E27FC236}">
              <a16:creationId xmlns:a16="http://schemas.microsoft.com/office/drawing/2014/main" id="{00000000-0008-0000-0000-000012000000}"/>
            </a:ext>
          </a:extLst>
        </xdr:cNvPr>
        <xdr:cNvGrpSpPr/>
      </xdr:nvGrpSpPr>
      <xdr:grpSpPr>
        <a:xfrm>
          <a:off x="7663296" y="2926773"/>
          <a:ext cx="1950893" cy="914400"/>
          <a:chOff x="7663296" y="2926773"/>
          <a:chExt cx="1950893" cy="914400"/>
        </a:xfrm>
      </xdr:grpSpPr>
      <mc:AlternateContent xmlns:mc="http://schemas.openxmlformats.org/markup-compatibility/2006">
        <mc:Choice xmlns:a14="http://schemas.microsoft.com/office/drawing/2010/main" Requires="a14">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8316191" y="3200400"/>
                <a:ext cx="1297998" cy="329045"/>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Admin</a:t>
                </a:r>
              </a:p>
            </xdr:txBody>
          </xdr:sp>
        </mc:Choice>
        <mc:Fallback/>
      </mc:AlternateContent>
      <xdr:pic macro="[0]!admin_tasks">
        <xdr:nvPicPr>
          <xdr:cNvPr id="17" name="Graphic 16" descr="Key">
            <a:extLst>
              <a:ext uri="{FF2B5EF4-FFF2-40B4-BE49-F238E27FC236}">
                <a16:creationId xmlns:a16="http://schemas.microsoft.com/office/drawing/2014/main" id="{00000000-0008-0000-0000-000011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7663296" y="2926773"/>
            <a:ext cx="914400" cy="914400"/>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xdr:from>
      <xdr:col>18</xdr:col>
      <xdr:colOff>23811</xdr:colOff>
      <xdr:row>11</xdr:row>
      <xdr:rowOff>57150</xdr:rowOff>
    </xdr:from>
    <xdr:to>
      <xdr:col>25</xdr:col>
      <xdr:colOff>238125</xdr:colOff>
      <xdr:row>28</xdr:row>
      <xdr:rowOff>47625</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0</xdr:colOff>
      <xdr:row>2</xdr:row>
      <xdr:rowOff>38100</xdr:rowOff>
    </xdr:from>
    <xdr:to>
      <xdr:col>31</xdr:col>
      <xdr:colOff>323850</xdr:colOff>
      <xdr:row>7</xdr:row>
      <xdr:rowOff>76200</xdr:rowOff>
    </xdr:to>
    <mc:AlternateContent xmlns:mc="http://schemas.openxmlformats.org/markup-compatibility/2006" xmlns:a14="http://schemas.microsoft.com/office/drawing/2010/main">
      <mc:Choice Requires="a14">
        <xdr:graphicFrame macro="">
          <xdr:nvGraphicFramePr>
            <xdr:cNvPr id="5" name="Company Name">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microsoft.com/office/drawing/2010/slicer">
              <sle:slicer xmlns:sle="http://schemas.microsoft.com/office/drawing/2010/slicer" name="Company Name"/>
            </a:graphicData>
          </a:graphic>
        </xdr:graphicFrame>
      </mc:Choice>
      <mc:Fallback xmlns="">
        <xdr:sp macro="" textlink="">
          <xdr:nvSpPr>
            <xdr:cNvPr id="0" name=""/>
            <xdr:cNvSpPr>
              <a:spLocks noTextEdit="1"/>
            </xdr:cNvSpPr>
          </xdr:nvSpPr>
          <xdr:spPr>
            <a:xfrm>
              <a:off x="24660225" y="523875"/>
              <a:ext cx="2971800" cy="847725"/>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ae Khan" refreshedDate="43961.568425578706" createdVersion="6" refreshedVersion="6" minRefreshableVersion="3" recordCount="42" xr:uid="{B6425307-62C0-4A89-B14A-E2AC7E9C0AD7}">
  <cacheSource type="worksheet">
    <worksheetSource name="TableTemp"/>
  </cacheSource>
  <cacheFields count="13">
    <cacheField name="Company" numFmtId="0">
      <sharedItems/>
    </cacheField>
    <cacheField name="Sales Document" numFmtId="0">
      <sharedItems containsSemiMixedTypes="0" containsString="0" containsNumber="1" containsInteger="1" minValue="65627" maxValue="68116"/>
    </cacheField>
    <cacheField name="Document Date" numFmtId="14">
      <sharedItems containsSemiMixedTypes="0" containsNonDate="0" containsDate="1" containsString="0" minDate="2018-10-04T00:00:00" maxDate="2018-10-22T00:00:00"/>
    </cacheField>
    <cacheField name="Customer code" numFmtId="0">
      <sharedItems containsSemiMixedTypes="0" containsString="0" containsNumber="1" containsInteger="1" minValue="8010" maxValue="8020"/>
    </cacheField>
    <cacheField name="Article code" numFmtId="0">
      <sharedItems containsSemiMixedTypes="0" containsString="0" containsNumber="1" containsInteger="1" minValue="103" maxValue="107"/>
    </cacheField>
    <cacheField name="Reject" numFmtId="0">
      <sharedItems containsBlank="1" containsMixedTypes="1" containsNumber="1" containsInteger="1" minValue="1" maxValue="4"/>
    </cacheField>
    <cacheField name="Quantity" numFmtId="0">
      <sharedItems containsSemiMixedTypes="0" containsString="0" containsNumber="1" containsInteger="1" minValue="100" maxValue="200"/>
    </cacheField>
    <cacheField name="Sales Local Currency" numFmtId="0">
      <sharedItems containsSemiMixedTypes="0" containsString="0" containsNumber="1" containsInteger="1" minValue="600" maxValue="2400"/>
    </cacheField>
    <cacheField name="Company Name" numFmtId="0">
      <sharedItems count="2">
        <s v="Urban Right"/>
        <s v="Bere Kleid" u="1"/>
      </sharedItems>
    </cacheField>
    <cacheField name="Customer Name" numFmtId="0">
      <sharedItems count="6">
        <s v="Dellicia"/>
        <s v="Erma"/>
        <s v="Aida GmbH" u="1"/>
        <s v="Edson" u="1"/>
        <e v="#N/A" u="1"/>
        <s v="Werner Strauss" u="1"/>
      </sharedItems>
    </cacheField>
    <cacheField name="Article Description" numFmtId="0">
      <sharedItems count="13">
        <s v="Women type T simple white"/>
        <s v="Women type T simple black"/>
        <s v="Women crop top black"/>
        <s v="Women basics"/>
        <s v="Women evening dress long black" u="1"/>
        <s v="Unisex tank top white" u="1"/>
        <s v="Laptop bag black" u="1"/>
        <e v="#N/A" u="1"/>
        <s v="Unisex tank top black" u="1"/>
        <s v="Smartphone case simple" u="1"/>
        <s v="Smartphone case diamond" u="1"/>
        <s v="Laptop bag red" u="1"/>
        <s v="Women evening dress Cocktail red" u="1"/>
      </sharedItems>
    </cacheField>
    <cacheField name="Currency" numFmtId="0">
      <sharedItems/>
    </cacheField>
    <cacheField name="Sales US Dollar" numFmtId="0">
      <sharedItems containsSemiMixedTypes="0" containsString="0" containsNumber="1" containsInteger="1" minValue="600" maxValue="2400"/>
    </cacheField>
  </cacheFields>
  <extLst>
    <ext xmlns:x14="http://schemas.microsoft.com/office/spreadsheetml/2009/9/main" uri="{725AE2AE-9491-48be-B2B4-4EB974FC3084}">
      <x14:pivotCacheDefinition pivotCacheId="181404381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2">
  <r>
    <s v="1010US"/>
    <n v="66030"/>
    <d v="2018-10-04T00:00:00"/>
    <n v="8010"/>
    <n v="103"/>
    <s v=""/>
    <n v="120"/>
    <n v="1440"/>
    <x v="0"/>
    <x v="0"/>
    <x v="0"/>
    <s v="USD"/>
    <n v="1440"/>
  </r>
  <r>
    <s v="1010US"/>
    <n v="66030"/>
    <d v="2018-10-04T00:00:00"/>
    <n v="8010"/>
    <n v="104"/>
    <m/>
    <n v="150"/>
    <n v="1800"/>
    <x v="0"/>
    <x v="0"/>
    <x v="1"/>
    <s v="USD"/>
    <n v="1800"/>
  </r>
  <r>
    <s v="1010US"/>
    <n v="66032"/>
    <d v="2018-10-07T00:00:00"/>
    <n v="8010"/>
    <n v="103"/>
    <m/>
    <n v="170"/>
    <n v="2040"/>
    <x v="0"/>
    <x v="0"/>
    <x v="0"/>
    <s v="USD"/>
    <n v="2040"/>
  </r>
  <r>
    <s v="1010US"/>
    <n v="66032"/>
    <d v="2018-10-07T00:00:00"/>
    <n v="8010"/>
    <n v="104"/>
    <m/>
    <n v="140"/>
    <n v="1680"/>
    <x v="0"/>
    <x v="0"/>
    <x v="1"/>
    <s v="USD"/>
    <n v="1680"/>
  </r>
  <r>
    <s v="1010US"/>
    <n v="66031"/>
    <d v="2018-10-08T00:00:00"/>
    <n v="8020"/>
    <n v="103"/>
    <n v="1"/>
    <n v="140"/>
    <n v="1680"/>
    <x v="0"/>
    <x v="1"/>
    <x v="0"/>
    <s v="USD"/>
    <n v="1680"/>
  </r>
  <r>
    <s v="1010US"/>
    <n v="66031"/>
    <d v="2018-10-08T00:00:00"/>
    <n v="8020"/>
    <n v="104"/>
    <m/>
    <n v="150"/>
    <n v="1800"/>
    <x v="0"/>
    <x v="1"/>
    <x v="1"/>
    <s v="USD"/>
    <n v="1800"/>
  </r>
  <r>
    <s v="1010US"/>
    <n v="66031"/>
    <d v="2018-10-08T00:00:00"/>
    <n v="8020"/>
    <n v="105"/>
    <m/>
    <n v="100"/>
    <n v="1000"/>
    <x v="0"/>
    <x v="1"/>
    <x v="2"/>
    <s v="USD"/>
    <n v="1000"/>
  </r>
  <r>
    <s v="1010US"/>
    <n v="68112"/>
    <d v="2018-10-11T00:00:00"/>
    <n v="8010"/>
    <n v="104"/>
    <n v="4"/>
    <n v="180"/>
    <n v="2160"/>
    <x v="0"/>
    <x v="0"/>
    <x v="1"/>
    <s v="USD"/>
    <n v="2160"/>
  </r>
  <r>
    <s v="1010US"/>
    <n v="68112"/>
    <d v="2018-10-11T00:00:00"/>
    <n v="8010"/>
    <n v="105"/>
    <m/>
    <n v="120"/>
    <n v="1200"/>
    <x v="0"/>
    <x v="0"/>
    <x v="2"/>
    <s v="USD"/>
    <n v="1200"/>
  </r>
  <r>
    <s v="1010US"/>
    <n v="68116"/>
    <d v="2018-10-11T00:00:00"/>
    <n v="8020"/>
    <n v="104"/>
    <m/>
    <n v="150"/>
    <n v="1800"/>
    <x v="0"/>
    <x v="1"/>
    <x v="1"/>
    <s v="USD"/>
    <n v="1800"/>
  </r>
  <r>
    <s v="1010US"/>
    <n v="68116"/>
    <d v="2018-10-11T00:00:00"/>
    <n v="8020"/>
    <n v="105"/>
    <m/>
    <n v="190"/>
    <n v="1900"/>
    <x v="0"/>
    <x v="1"/>
    <x v="2"/>
    <s v="USD"/>
    <n v="1900"/>
  </r>
  <r>
    <s v="1010US"/>
    <n v="68116"/>
    <d v="2018-10-11T00:00:00"/>
    <n v="8020"/>
    <n v="107"/>
    <n v="2"/>
    <n v="160"/>
    <n v="800"/>
    <x v="0"/>
    <x v="1"/>
    <x v="3"/>
    <s v="USD"/>
    <n v="800"/>
  </r>
  <r>
    <s v="1010US"/>
    <n v="68116"/>
    <d v="2018-10-11T00:00:00"/>
    <n v="8010"/>
    <n v="104"/>
    <m/>
    <n v="160"/>
    <n v="1920"/>
    <x v="0"/>
    <x v="0"/>
    <x v="1"/>
    <s v="USD"/>
    <n v="1920"/>
  </r>
  <r>
    <s v="1010US"/>
    <n v="68116"/>
    <d v="2018-10-11T00:00:00"/>
    <n v="8010"/>
    <n v="105"/>
    <m/>
    <n v="190"/>
    <n v="1900"/>
    <x v="0"/>
    <x v="0"/>
    <x v="2"/>
    <s v="USD"/>
    <n v="1900"/>
  </r>
  <r>
    <s v="1010US"/>
    <n v="65662"/>
    <d v="2018-10-15T00:00:00"/>
    <n v="8020"/>
    <n v="103"/>
    <m/>
    <n v="120"/>
    <n v="1440"/>
    <x v="0"/>
    <x v="1"/>
    <x v="0"/>
    <s v="USD"/>
    <n v="1440"/>
  </r>
  <r>
    <s v="1010US"/>
    <n v="65662"/>
    <d v="2018-10-15T00:00:00"/>
    <n v="8020"/>
    <n v="104"/>
    <m/>
    <n v="110"/>
    <n v="1320"/>
    <x v="0"/>
    <x v="1"/>
    <x v="1"/>
    <s v="USD"/>
    <n v="1320"/>
  </r>
  <r>
    <s v="1010US"/>
    <n v="65666"/>
    <d v="2018-10-15T00:00:00"/>
    <n v="8010"/>
    <n v="103"/>
    <m/>
    <n v="120"/>
    <n v="1440"/>
    <x v="0"/>
    <x v="0"/>
    <x v="0"/>
    <s v="USD"/>
    <n v="1440"/>
  </r>
  <r>
    <s v="1010US"/>
    <n v="65666"/>
    <d v="2018-10-15T00:00:00"/>
    <n v="8010"/>
    <n v="104"/>
    <m/>
    <n v="140"/>
    <n v="1680"/>
    <x v="0"/>
    <x v="0"/>
    <x v="1"/>
    <s v="USD"/>
    <n v="1680"/>
  </r>
  <r>
    <s v="1010US"/>
    <n v="65666"/>
    <d v="2018-10-15T00:00:00"/>
    <n v="8010"/>
    <n v="105"/>
    <m/>
    <n v="160"/>
    <n v="1600"/>
    <x v="0"/>
    <x v="0"/>
    <x v="2"/>
    <s v="USD"/>
    <n v="1600"/>
  </r>
  <r>
    <s v="1010US"/>
    <n v="65666"/>
    <d v="2018-10-15T00:00:00"/>
    <n v="8020"/>
    <n v="107"/>
    <m/>
    <n v="120"/>
    <n v="600"/>
    <x v="0"/>
    <x v="1"/>
    <x v="3"/>
    <s v="USD"/>
    <n v="600"/>
  </r>
  <r>
    <s v="1010US"/>
    <n v="65666"/>
    <d v="2018-10-15T00:00:00"/>
    <n v="8020"/>
    <n v="103"/>
    <m/>
    <n v="200"/>
    <n v="2400"/>
    <x v="0"/>
    <x v="1"/>
    <x v="0"/>
    <s v="USD"/>
    <n v="2400"/>
  </r>
  <r>
    <s v="1010US"/>
    <n v="66015"/>
    <d v="2018-10-10T00:00:00"/>
    <n v="8010"/>
    <n v="103"/>
    <m/>
    <n v="140"/>
    <n v="1680"/>
    <x v="0"/>
    <x v="0"/>
    <x v="0"/>
    <s v="USD"/>
    <n v="1680"/>
  </r>
  <r>
    <s v="1010US"/>
    <n v="66015"/>
    <d v="2018-10-10T00:00:00"/>
    <n v="8010"/>
    <n v="104"/>
    <m/>
    <n v="140"/>
    <n v="1680"/>
    <x v="0"/>
    <x v="0"/>
    <x v="1"/>
    <s v="USD"/>
    <n v="1680"/>
  </r>
  <r>
    <s v="1010US"/>
    <n v="66017"/>
    <d v="2018-10-13T00:00:00"/>
    <n v="8010"/>
    <n v="103"/>
    <m/>
    <n v="140"/>
    <n v="1680"/>
    <x v="0"/>
    <x v="0"/>
    <x v="0"/>
    <s v="USD"/>
    <n v="1680"/>
  </r>
  <r>
    <s v="1010US"/>
    <n v="66017"/>
    <d v="2018-10-13T00:00:00"/>
    <n v="8010"/>
    <n v="104"/>
    <m/>
    <n v="140"/>
    <n v="1680"/>
    <x v="0"/>
    <x v="0"/>
    <x v="1"/>
    <s v="USD"/>
    <n v="1680"/>
  </r>
  <r>
    <s v="1010US"/>
    <n v="66016"/>
    <d v="2018-10-14T00:00:00"/>
    <n v="8020"/>
    <n v="103"/>
    <m/>
    <n v="120"/>
    <n v="1440"/>
    <x v="0"/>
    <x v="1"/>
    <x v="0"/>
    <s v="USD"/>
    <n v="1440"/>
  </r>
  <r>
    <s v="1010US"/>
    <n v="66016"/>
    <d v="2018-10-14T00:00:00"/>
    <n v="8020"/>
    <n v="104"/>
    <m/>
    <n v="130"/>
    <n v="1560"/>
    <x v="0"/>
    <x v="1"/>
    <x v="1"/>
    <s v="USD"/>
    <n v="1560"/>
  </r>
  <r>
    <s v="1010US"/>
    <n v="66016"/>
    <d v="2018-10-14T00:00:00"/>
    <n v="8020"/>
    <n v="105"/>
    <m/>
    <n v="120"/>
    <n v="1200"/>
    <x v="0"/>
    <x v="1"/>
    <x v="2"/>
    <s v="USD"/>
    <n v="1200"/>
  </r>
  <r>
    <s v="1010US"/>
    <n v="68097"/>
    <d v="2018-10-17T00:00:00"/>
    <n v="8010"/>
    <n v="104"/>
    <m/>
    <n v="140"/>
    <n v="1680"/>
    <x v="0"/>
    <x v="0"/>
    <x v="1"/>
    <s v="USD"/>
    <n v="1680"/>
  </r>
  <r>
    <s v="1010US"/>
    <n v="68097"/>
    <d v="2018-10-17T00:00:00"/>
    <n v="8010"/>
    <n v="105"/>
    <m/>
    <n v="130"/>
    <n v="1300"/>
    <x v="0"/>
    <x v="0"/>
    <x v="2"/>
    <s v="USD"/>
    <n v="1300"/>
  </r>
  <r>
    <s v="1010US"/>
    <n v="68099"/>
    <d v="2018-10-17T00:00:00"/>
    <n v="8020"/>
    <n v="104"/>
    <m/>
    <n v="120"/>
    <n v="1440"/>
    <x v="0"/>
    <x v="1"/>
    <x v="1"/>
    <s v="USD"/>
    <n v="1440"/>
  </r>
  <r>
    <s v="1010US"/>
    <n v="68099"/>
    <d v="2018-10-17T00:00:00"/>
    <n v="8020"/>
    <n v="105"/>
    <n v="2"/>
    <n v="140"/>
    <n v="1400"/>
    <x v="0"/>
    <x v="1"/>
    <x v="2"/>
    <s v="USD"/>
    <n v="1400"/>
  </r>
  <r>
    <s v="1010US"/>
    <n v="68099"/>
    <d v="2018-10-17T00:00:00"/>
    <n v="8020"/>
    <n v="107"/>
    <m/>
    <n v="170"/>
    <n v="850"/>
    <x v="0"/>
    <x v="1"/>
    <x v="3"/>
    <s v="USD"/>
    <n v="850"/>
  </r>
  <r>
    <s v="1010US"/>
    <n v="68101"/>
    <d v="2018-10-17T00:00:00"/>
    <n v="8010"/>
    <n v="104"/>
    <m/>
    <n v="190"/>
    <n v="2280"/>
    <x v="0"/>
    <x v="0"/>
    <x v="1"/>
    <s v="USD"/>
    <n v="2280"/>
  </r>
  <r>
    <s v="1010US"/>
    <n v="68101"/>
    <d v="2018-10-17T00:00:00"/>
    <n v="8010"/>
    <n v="105"/>
    <m/>
    <n v="140"/>
    <n v="1400"/>
    <x v="0"/>
    <x v="0"/>
    <x v="2"/>
    <s v="USD"/>
    <n v="1400"/>
  </r>
  <r>
    <s v="1010US"/>
    <n v="65627"/>
    <d v="2018-10-21T00:00:00"/>
    <n v="8020"/>
    <n v="103"/>
    <m/>
    <n v="140"/>
    <n v="1680"/>
    <x v="0"/>
    <x v="1"/>
    <x v="0"/>
    <s v="USD"/>
    <n v="1680"/>
  </r>
  <r>
    <s v="1010US"/>
    <n v="65627"/>
    <d v="2018-10-21T00:00:00"/>
    <n v="8020"/>
    <n v="104"/>
    <n v="3"/>
    <n v="160"/>
    <n v="1920"/>
    <x v="0"/>
    <x v="1"/>
    <x v="1"/>
    <s v="USD"/>
    <n v="1920"/>
  </r>
  <r>
    <s v="1010US"/>
    <n v="65629"/>
    <d v="2018-10-21T00:00:00"/>
    <n v="8010"/>
    <n v="103"/>
    <m/>
    <n v="190"/>
    <n v="2280"/>
    <x v="0"/>
    <x v="0"/>
    <x v="0"/>
    <s v="USD"/>
    <n v="2280"/>
  </r>
  <r>
    <s v="1010US"/>
    <n v="65629"/>
    <d v="2018-10-21T00:00:00"/>
    <n v="8010"/>
    <n v="104"/>
    <m/>
    <n v="130"/>
    <n v="1560"/>
    <x v="0"/>
    <x v="0"/>
    <x v="1"/>
    <s v="USD"/>
    <n v="1560"/>
  </r>
  <r>
    <s v="1010US"/>
    <n v="65629"/>
    <d v="2018-10-21T00:00:00"/>
    <n v="8010"/>
    <n v="105"/>
    <m/>
    <n v="140"/>
    <n v="1400"/>
    <x v="0"/>
    <x v="0"/>
    <x v="2"/>
    <s v="USD"/>
    <n v="1400"/>
  </r>
  <r>
    <s v="1010US"/>
    <n v="65631"/>
    <d v="2018-10-21T00:00:00"/>
    <n v="8020"/>
    <n v="107"/>
    <m/>
    <n v="190"/>
    <n v="950"/>
    <x v="0"/>
    <x v="1"/>
    <x v="3"/>
    <s v="USD"/>
    <n v="950"/>
  </r>
  <r>
    <s v="1010US"/>
    <n v="65631"/>
    <d v="2018-10-21T00:00:00"/>
    <n v="8020"/>
    <n v="103"/>
    <m/>
    <n v="120"/>
    <n v="1440"/>
    <x v="0"/>
    <x v="1"/>
    <x v="0"/>
    <s v="USD"/>
    <n v="144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BB6CAA3-E786-4332-8983-C6DD840B65F1}" name="PivotTable2" cacheId="1" applyNumberFormats="0" applyBorderFormats="0" applyFontFormats="0" applyPatternFormats="0" applyAlignmentFormats="0" applyWidthHeightFormats="1" dataCaption="Values" updatedVersion="6" minRefreshableVersion="3" showDrill="0" itemPrintTitles="1" createdVersion="6" indent="0" outline="1" outlineData="1" multipleFieldFilters="0" chartFormat="1">
  <location ref="AO4:AQ15" firstHeaderRow="0" firstDataRow="1" firstDataCol="1"/>
  <pivotFields count="13">
    <pivotField showAll="0"/>
    <pivotField showAll="0"/>
    <pivotField numFmtId="14" showAll="0"/>
    <pivotField showAll="0"/>
    <pivotField showAll="0"/>
    <pivotField showAll="0"/>
    <pivotField dataField="1" showAll="0"/>
    <pivotField showAll="0"/>
    <pivotField axis="axisRow" showAll="0">
      <items count="3">
        <item m="1" x="1"/>
        <item x="0"/>
        <item t="default"/>
      </items>
    </pivotField>
    <pivotField axis="axisRow" showAll="0">
      <items count="7">
        <item n="Aida GmbH Total" m="1" x="2"/>
        <item x="0"/>
        <item n="Edson Total" m="1" x="3"/>
        <item x="1"/>
        <item n="Werner Strauss Total" m="1" x="5"/>
        <item m="1" x="4"/>
        <item t="default"/>
      </items>
    </pivotField>
    <pivotField axis="axisRow" showAll="0">
      <items count="14">
        <item m="1" x="6"/>
        <item m="1" x="11"/>
        <item m="1" x="10"/>
        <item m="1" x="9"/>
        <item m="1" x="8"/>
        <item m="1" x="5"/>
        <item x="3"/>
        <item x="2"/>
        <item m="1" x="12"/>
        <item m="1" x="4"/>
        <item x="1"/>
        <item x="0"/>
        <item m="1" x="7"/>
        <item t="default"/>
      </items>
    </pivotField>
    <pivotField showAll="0"/>
    <pivotField dataField="1" showAll="0"/>
  </pivotFields>
  <rowFields count="3">
    <field x="8"/>
    <field x="9"/>
    <field x="10"/>
  </rowFields>
  <rowItems count="11">
    <i>
      <x v="1"/>
    </i>
    <i r="1">
      <x v="1"/>
    </i>
    <i r="2">
      <x v="7"/>
    </i>
    <i r="2">
      <x v="10"/>
    </i>
    <i r="2">
      <x v="11"/>
    </i>
    <i r="1">
      <x v="3"/>
    </i>
    <i r="2">
      <x v="6"/>
    </i>
    <i r="2">
      <x v="7"/>
    </i>
    <i r="2">
      <x v="10"/>
    </i>
    <i r="2">
      <x v="11"/>
    </i>
    <i t="grand">
      <x/>
    </i>
  </rowItems>
  <colFields count="1">
    <field x="-2"/>
  </colFields>
  <colItems count="2">
    <i>
      <x/>
    </i>
    <i i="1">
      <x v="1"/>
    </i>
  </colItems>
  <dataFields count="2">
    <dataField name="Sum of Sales US Dollar" fld="12" baseField="0" baseItem="0"/>
    <dataField name="Sum of Quantity" fld="6" baseField="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01A4353-49AB-446E-B99A-034A744E3E73}" name="PTRegion" cacheId="1" applyNumberFormats="0" applyBorderFormats="0" applyFontFormats="0" applyPatternFormats="0" applyAlignmentFormats="0" applyWidthHeightFormats="1" dataCaption="Values" updatedVersion="6" minRefreshableVersion="3" itemPrintTitles="1" createdVersion="6" indent="0" outline="1" outlineData="1" multipleFieldFilters="0" chartFormat="1" rowHeaderCaption="Customer">
  <location ref="S3:U6" firstHeaderRow="0" firstDataRow="1" firstDataCol="1"/>
  <pivotFields count="13">
    <pivotField showAll="0"/>
    <pivotField showAll="0"/>
    <pivotField numFmtId="14" showAll="0"/>
    <pivotField showAll="0"/>
    <pivotField showAll="0"/>
    <pivotField showAll="0"/>
    <pivotField showAll="0"/>
    <pivotField dataField="1" showAll="0"/>
    <pivotField showAll="0"/>
    <pivotField axis="axisRow" showAll="0" sortType="ascending">
      <items count="7">
        <item m="1" x="2"/>
        <item m="1" x="3"/>
        <item m="1" x="5"/>
        <item x="0"/>
        <item x="1"/>
        <item m="1" x="4"/>
        <item t="default"/>
      </items>
      <autoSortScope>
        <pivotArea dataOnly="0" outline="0" fieldPosition="0">
          <references count="1">
            <reference field="4294967294" count="1" selected="0">
              <x v="0"/>
            </reference>
          </references>
        </pivotArea>
      </autoSortScope>
    </pivotField>
    <pivotField showAll="0"/>
    <pivotField showAll="0"/>
    <pivotField dataField="1" showAll="0"/>
  </pivotFields>
  <rowFields count="1">
    <field x="9"/>
  </rowFields>
  <rowItems count="3">
    <i>
      <x v="4"/>
    </i>
    <i>
      <x v="3"/>
    </i>
    <i t="grand">
      <x/>
    </i>
  </rowItems>
  <colFields count="1">
    <field x="-2"/>
  </colFields>
  <colItems count="2">
    <i>
      <x/>
    </i>
    <i i="1">
      <x v="1"/>
    </i>
  </colItems>
  <dataFields count="2">
    <dataField name="$ Sales" fld="12" baseField="0" baseItem="0" numFmtId="164"/>
    <dataField name="%" fld="7" showDataAs="percentOfTotal" baseField="9" baseItem="0" numFmtId="10"/>
  </dataFields>
  <formats count="4">
    <format dxfId="13">
      <pivotArea dataOnly="0" labelOnly="1" outline="0" axis="axisValues" fieldPosition="0"/>
    </format>
    <format dxfId="12">
      <pivotArea outline="0" fieldPosition="0">
        <references count="1">
          <reference field="4294967294" count="1">
            <x v="0"/>
          </reference>
        </references>
      </pivotArea>
    </format>
    <format dxfId="11">
      <pivotArea dataOnly="0" labelOnly="1" outline="0" fieldPosition="0">
        <references count="1">
          <reference field="4294967294" count="1">
            <x v="1"/>
          </reference>
        </references>
      </pivotArea>
    </format>
    <format dxfId="10">
      <pivotArea outline="0" fieldPosition="0">
        <references count="1">
          <reference field="4294967294" count="1">
            <x v="1"/>
          </reference>
        </references>
      </pivotArea>
    </format>
  </format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4A1F8D9-8033-4EA2-9F7B-CA057ECEBA45}" name="PivotTable3" cacheId="1" applyNumberFormats="0" applyBorderFormats="0" applyFontFormats="0" applyPatternFormats="0" applyAlignmentFormats="0" applyWidthHeightFormats="1" dataCaption="Values" updatedVersion="6" minRefreshableVersion="3" itemPrintTitles="1" createdVersion="6" indent="0" outline="1" outlineData="1" multipleFieldFilters="0" chartFormat="1">
  <location ref="AH10:AJ15" firstHeaderRow="0" firstDataRow="1" firstDataCol="1"/>
  <pivotFields count="13">
    <pivotField showAll="0"/>
    <pivotField showAll="0"/>
    <pivotField numFmtId="14" showAll="0"/>
    <pivotField showAll="0"/>
    <pivotField showAll="0"/>
    <pivotField dataField="1" showAll="0"/>
    <pivotField showAll="0"/>
    <pivotField showAll="0"/>
    <pivotField showAll="0">
      <items count="3">
        <item m="1" x="1"/>
        <item x="0"/>
        <item t="default"/>
      </items>
    </pivotField>
    <pivotField showAll="0"/>
    <pivotField axis="axisRow" showAll="0" measureFilter="1">
      <items count="14">
        <item m="1" x="6"/>
        <item m="1" x="11"/>
        <item m="1" x="10"/>
        <item m="1" x="9"/>
        <item m="1" x="8"/>
        <item m="1" x="5"/>
        <item x="3"/>
        <item x="2"/>
        <item m="1" x="12"/>
        <item m="1" x="4"/>
        <item x="1"/>
        <item x="0"/>
        <item m="1" x="7"/>
        <item t="default"/>
      </items>
    </pivotField>
    <pivotField showAll="0"/>
    <pivotField showAll="0"/>
  </pivotFields>
  <rowFields count="1">
    <field x="10"/>
  </rowFields>
  <rowItems count="5">
    <i>
      <x v="6"/>
    </i>
    <i>
      <x v="7"/>
    </i>
    <i>
      <x v="10"/>
    </i>
    <i>
      <x v="11"/>
    </i>
    <i t="grand">
      <x/>
    </i>
  </rowItems>
  <colFields count="1">
    <field x="-2"/>
  </colFields>
  <colItems count="2">
    <i>
      <x/>
    </i>
    <i i="1">
      <x v="1"/>
    </i>
  </colItems>
  <dataFields count="2">
    <dataField name=" Reject" fld="5" baseField="10" baseItem="2"/>
    <dataField name="Reject %" fld="5" subtotal="count" showDataAs="percentOfTotal" baseField="0" baseItem="0" numFmtId="10"/>
  </dataFields>
  <formats count="3">
    <format dxfId="16">
      <pivotArea dataOnly="0" labelOnly="1" outline="0" fieldPosition="0">
        <references count="1">
          <reference field="4294967294" count="1">
            <x v="1"/>
          </reference>
        </references>
      </pivotArea>
    </format>
    <format dxfId="15">
      <pivotArea outline="0" fieldPosition="0">
        <references count="1">
          <reference field="4294967294" count="1">
            <x v="1"/>
          </reference>
        </references>
      </pivotArea>
    </format>
    <format dxfId="14">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filters count="1">
    <filter fld="10" type="valueGreaterThan" evalOrder="-1" id="1" iMeasureFld="0">
      <autoFilter ref="A1">
        <filterColumn colId="0">
          <customFilters>
            <customFilter operator="greaterThan"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03C7C7B-6696-4BDD-BCAD-9051762EF680}" name="PivotTable1" cacheId="1" applyNumberFormats="0" applyBorderFormats="0" applyFontFormats="0" applyPatternFormats="0" applyAlignmentFormats="0" applyWidthHeightFormats="1" dataCaption="Values" grandTotalCaption=" Total" updatedVersion="6" minRefreshableVersion="3" itemPrintTitles="1" createdVersion="6" indent="0" outline="1" outlineData="1" multipleFieldFilters="0" chartFormat="1">
  <location ref="AD10:AF15" firstHeaderRow="0" firstDataRow="1" firstDataCol="1"/>
  <pivotFields count="13">
    <pivotField showAll="0"/>
    <pivotField showAll="0"/>
    <pivotField numFmtId="14" showAll="0"/>
    <pivotField showAll="0"/>
    <pivotField showAll="0"/>
    <pivotField showAll="0"/>
    <pivotField dataField="1" showAll="0"/>
    <pivotField showAll="0"/>
    <pivotField showAll="0">
      <items count="3">
        <item m="1" x="1"/>
        <item x="0"/>
        <item t="default"/>
      </items>
    </pivotField>
    <pivotField showAll="0"/>
    <pivotField axis="axisRow" showAll="0">
      <items count="14">
        <item m="1" x="6"/>
        <item m="1" x="11"/>
        <item m="1" x="10"/>
        <item m="1" x="9"/>
        <item m="1" x="8"/>
        <item m="1" x="5"/>
        <item x="3"/>
        <item x="2"/>
        <item m="1" x="12"/>
        <item m="1" x="4"/>
        <item x="1"/>
        <item x="0"/>
        <item m="1" x="7"/>
        <item t="default"/>
      </items>
    </pivotField>
    <pivotField showAll="0"/>
    <pivotField dataField="1" showAll="0"/>
  </pivotFields>
  <rowFields count="1">
    <field x="10"/>
  </rowFields>
  <rowItems count="5">
    <i>
      <x v="6"/>
    </i>
    <i>
      <x v="7"/>
    </i>
    <i>
      <x v="10"/>
    </i>
    <i>
      <x v="11"/>
    </i>
    <i t="grand">
      <x/>
    </i>
  </rowItems>
  <colFields count="1">
    <field x="-2"/>
  </colFields>
  <colItems count="2">
    <i>
      <x/>
    </i>
    <i i="1">
      <x v="1"/>
    </i>
  </colItems>
  <dataFields count="2">
    <dataField name="$ Sales" fld="12" baseField="0" baseItem="0" numFmtId="3"/>
    <dataField name="Sum of Quantity" fld="6" baseField="0" baseItem="0"/>
  </dataFields>
  <formats count="3">
    <format dxfId="19">
      <pivotArea dataOnly="0" labelOnly="1" outline="0" fieldPosition="0">
        <references count="1">
          <reference field="4294967294" count="1">
            <x v="0"/>
          </reference>
        </references>
      </pivotArea>
    </format>
    <format dxfId="18">
      <pivotArea dataOnly="0" labelOnly="1" outline="0" fieldPosition="0">
        <references count="1">
          <reference field="4294967294" count="1">
            <x v="1"/>
          </reference>
        </references>
      </pivotArea>
    </format>
    <format dxfId="17">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mpany_Name" xr10:uid="{A96106FD-6160-4306-B7D7-C04BF54066B4}" sourceName="Company Name">
  <pivotTables>
    <pivotTable tabId="7" name="PivotTable1"/>
    <pivotTable tabId="7" name="PivotTable3"/>
  </pivotTables>
  <data>
    <tabular pivotCacheId="1814043811">
      <items count="2">
        <i x="0" s="1"/>
        <i x="1"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mpany Name" xr10:uid="{9D386115-349D-456B-AC66-2E58CB051237}" cache="Slicer_Company_Name" caption="Company Name" showCaption="0" rowHeight="22542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14AB5F7-358F-4936-A825-657E30080CAB}" name="TableTemp" displayName="TableTemp" ref="A1:M43" totalsRowShown="0" headerRowDxfId="9">
  <tableColumns count="13">
    <tableColumn id="1" xr3:uid="{6BAA62B2-7416-4223-BE99-805BE1D69C4A}" name="Company" dataDxfId="8"/>
    <tableColumn id="2" xr3:uid="{D257F754-7E7F-4A96-A50E-C472E9CE3B93}" name="Sales Document"/>
    <tableColumn id="3" xr3:uid="{50F3BA95-88F6-4034-A114-239B369858BF}" name="Document Date" dataDxfId="7"/>
    <tableColumn id="4" xr3:uid="{68CE49B7-FEE1-4A09-AC7F-B9A571FF9F6D}" name="Customer code"/>
    <tableColumn id="5" xr3:uid="{4665C830-A670-4185-9F6F-6609C7B18319}" name="Article code"/>
    <tableColumn id="6" xr3:uid="{639755AD-43A9-477B-B43D-FF93B43E34EE}" name="Reject"/>
    <tableColumn id="7" xr3:uid="{DFBE568A-6120-4297-BC87-D0B72A303F68}" name="Quantity"/>
    <tableColumn id="8" xr3:uid="{8A1F880D-18FB-42F9-869A-085478FF444E}" name="Sales Local Currency"/>
    <tableColumn id="9" xr3:uid="{47FE540B-4FB0-4B20-9B81-E16F01C3BE34}" name="Company Name" dataDxfId="6">
      <calculatedColumnFormula>VLOOKUP(TableTemp[[#This Row],[Company]],MCompany[],2,FALSE)</calculatedColumnFormula>
    </tableColumn>
    <tableColumn id="10" xr3:uid="{FE1E0EB3-4096-4550-916D-66AB51910AD6}" name="Customer Name" dataDxfId="5">
      <calculatedColumnFormula>VLOOKUP(TableTemp[[#This Row],[Customer code]],MCustomer[],2,FALSE)</calculatedColumnFormula>
    </tableColumn>
    <tableColumn id="11" xr3:uid="{8BE1C4A6-CF0D-4C5A-8D0A-A1570C338D12}" name="Article Description" dataDxfId="4">
      <calculatedColumnFormula>VLOOKUP(TableTemp[[#This Row],[Article code]], MArticle[], 2,FALSE)</calculatedColumnFormula>
    </tableColumn>
    <tableColumn id="12" xr3:uid="{D2E21C26-1430-43E7-A3F0-A660C17124BE}" name="Currency" dataDxfId="3">
      <calculatedColumnFormula>VLOOKUP(TableTemp[[#This Row],[Company]],MCompany[],3,FALSE)</calculatedColumnFormula>
    </tableColumn>
    <tableColumn id="13" xr3:uid="{53BC2AAE-ED07-4531-8614-50B56031BFDF}" name="Sales US Dollar" dataDxfId="2">
      <calculatedColumnFormula>IF(TableTemp[[#This Row],[Currency]]="EUR",ROUND(VLOOKUP(MONTH(TableTemp[[#This Row],[Document Date]]),MExchange[],2,FALSE)*TableTemp[[#This Row],[Sales Local Currency]],2),ROUND(TableTemp[[#This Row],[Sales Local Currency]],2))</calculatedColumnFormula>
    </tableColumn>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MCompany" displayName="MCompany" ref="B8:E12" tableBorderDxfId="1">
  <autoFilter ref="B8:E12" xr:uid="{00000000-0009-0000-0100-000002000000}">
    <filterColumn colId="0" hiddenButton="1"/>
    <filterColumn colId="1" hiddenButton="1"/>
    <filterColumn colId="2" hiddenButton="1"/>
    <filterColumn colId="3" hiddenButton="1"/>
  </autoFilter>
  <tableColumns count="4">
    <tableColumn id="1" xr3:uid="{00000000-0010-0000-0000-000001000000}" name="Company code" totalsRowLabel="Total"/>
    <tableColumn id="2" xr3:uid="{00000000-0010-0000-0000-000002000000}" name="Company Name"/>
    <tableColumn id="3" xr3:uid="{00000000-0010-0000-0000-000003000000}" name="Currency" totalsRowFunction="count"/>
    <tableColumn id="4" xr3:uid="{00000000-0010-0000-0000-000004000000}" name="Region"/>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MCustomer" displayName="MCustomer" ref="B16:C22" totalsRowShown="0">
  <autoFilter ref="B16:C22" xr:uid="{00000000-0009-0000-0100-000003000000}">
    <filterColumn colId="0" hiddenButton="1"/>
    <filterColumn colId="1" hiddenButton="1"/>
  </autoFilter>
  <tableColumns count="2">
    <tableColumn id="1" xr3:uid="{00000000-0010-0000-0100-000001000000}" name="Customer code"/>
    <tableColumn id="2" xr3:uid="{00000000-0010-0000-0100-000002000000}" name="Customer Name"/>
  </tableColumns>
  <tableStyleInfo name="Table Style 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MArticle" displayName="MArticle" ref="B26:C46" totalsRowShown="0">
  <autoFilter ref="B26:C46" xr:uid="{00000000-0009-0000-0100-000004000000}">
    <filterColumn colId="0" hiddenButton="1"/>
    <filterColumn colId="1" hiddenButton="1"/>
  </autoFilter>
  <tableColumns count="2">
    <tableColumn id="1" xr3:uid="{00000000-0010-0000-0200-000001000000}" name="Article code" dataDxfId="0"/>
    <tableColumn id="2" xr3:uid="{00000000-0010-0000-0200-000002000000}" name="Description"/>
  </tableColumns>
  <tableStyleInfo name="Table Style 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MExchange" displayName="MExchange" ref="B52:C64" totalsRowShown="0">
  <autoFilter ref="B52:C64" xr:uid="{00000000-0009-0000-0100-000005000000}">
    <filterColumn colId="0" hiddenButton="1"/>
    <filterColumn colId="1" hiddenButton="1"/>
  </autoFilter>
  <tableColumns count="2">
    <tableColumn id="1" xr3:uid="{00000000-0010-0000-0300-000001000000}" name="Month"/>
    <tableColumn id="2" xr3:uid="{00000000-0010-0000-0300-000002000000}" name="EUR to $"/>
  </tableColumns>
  <tableStyleInfo name="Table Style 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Arial">
      <a:maj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10" Type="http://schemas.openxmlformats.org/officeDocument/2006/relationships/ctrlProp" Target="../ctrlProps/ctrlProp5.xml"/><Relationship Id="rId4" Type="http://schemas.openxmlformats.org/officeDocument/2006/relationships/control" Target="../activeX/activeX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7"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table" Target="../tables/table1.xml"/><Relationship Id="rId5" Type="http://schemas.openxmlformats.org/officeDocument/2006/relationships/drawing" Target="../drawings/drawing2.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 Id="rId4"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Start"/>
  <dimension ref="A1:Q61"/>
  <sheetViews>
    <sheetView showGridLines="0" tabSelected="1" zoomScale="110" zoomScaleNormal="110" workbookViewId="0"/>
  </sheetViews>
  <sheetFormatPr defaultColWidth="0" defaultRowHeight="12.75" zeroHeight="1" x14ac:dyDescent="0.2"/>
  <cols>
    <col min="1" max="1" width="4" customWidth="1"/>
    <col min="2" max="2" width="9.140625" customWidth="1"/>
    <col min="3" max="3" width="19.85546875" customWidth="1"/>
    <col min="4" max="4" width="9.140625" customWidth="1"/>
    <col min="5" max="5" width="5.85546875" customWidth="1"/>
    <col min="6" max="6" width="9.140625" customWidth="1"/>
    <col min="7" max="7" width="12.85546875" customWidth="1"/>
    <col min="8" max="8" width="4.5703125" customWidth="1"/>
    <col min="9" max="17" width="9.140625" customWidth="1"/>
    <col min="18" max="16384" width="9.140625" hidden="1"/>
  </cols>
  <sheetData>
    <row r="1" spans="8:8" ht="28.9" customHeight="1" x14ac:dyDescent="0.2"/>
    <row r="2" spans="8:8" ht="11.65" customHeight="1" x14ac:dyDescent="0.2"/>
    <row r="3" spans="8:8" x14ac:dyDescent="0.2"/>
    <row r="4" spans="8:8" x14ac:dyDescent="0.2"/>
    <row r="5" spans="8:8" x14ac:dyDescent="0.2"/>
    <row r="6" spans="8:8" x14ac:dyDescent="0.2"/>
    <row r="7" spans="8:8" x14ac:dyDescent="0.2"/>
    <row r="8" spans="8:8" x14ac:dyDescent="0.2"/>
    <row r="9" spans="8:8" x14ac:dyDescent="0.2"/>
    <row r="10" spans="8:8" x14ac:dyDescent="0.2"/>
    <row r="11" spans="8:8" x14ac:dyDescent="0.2"/>
    <row r="12" spans="8:8" x14ac:dyDescent="0.2">
      <c r="H12" s="7"/>
    </row>
    <row r="13" spans="8:8" x14ac:dyDescent="0.2">
      <c r="H13" s="7"/>
    </row>
    <row r="14" spans="8:8" x14ac:dyDescent="0.2"/>
    <row r="15" spans="8:8" x14ac:dyDescent="0.2"/>
    <row r="16" spans="8:8" x14ac:dyDescent="0.2"/>
    <row r="17" spans="3:9" x14ac:dyDescent="0.2"/>
    <row r="18" spans="3:9" x14ac:dyDescent="0.2"/>
    <row r="19" spans="3:9" x14ac:dyDescent="0.2">
      <c r="C19" s="30" t="s">
        <v>91</v>
      </c>
      <c r="D19" s="4"/>
      <c r="E19" s="4"/>
      <c r="F19" s="4"/>
      <c r="G19" s="4"/>
      <c r="H19" s="4"/>
      <c r="I19" s="4"/>
    </row>
    <row r="20" spans="3:9" x14ac:dyDescent="0.2">
      <c r="C20" t="s">
        <v>92</v>
      </c>
    </row>
    <row r="21" spans="3:9" x14ac:dyDescent="0.2"/>
    <row r="22" spans="3:9" x14ac:dyDescent="0.2"/>
    <row r="23" spans="3:9" x14ac:dyDescent="0.2"/>
    <row r="24" spans="3:9" x14ac:dyDescent="0.2"/>
    <row r="25" spans="3:9" x14ac:dyDescent="0.2"/>
    <row r="26" spans="3:9" x14ac:dyDescent="0.2"/>
    <row r="27" spans="3:9" x14ac:dyDescent="0.2"/>
    <row r="28" spans="3:9" x14ac:dyDescent="0.2"/>
    <row r="29" spans="3:9" x14ac:dyDescent="0.2"/>
    <row r="30" spans="3:9" x14ac:dyDescent="0.2"/>
    <row r="31" spans="3:9" x14ac:dyDescent="0.2"/>
    <row r="32" spans="3:9" x14ac:dyDescent="0.2"/>
    <row r="33" x14ac:dyDescent="0.2"/>
    <row r="34" x14ac:dyDescent="0.2"/>
    <row r="35" x14ac:dyDescent="0.2"/>
    <row r="36" x14ac:dyDescent="0.2"/>
    <row r="37" x14ac:dyDescent="0.2"/>
    <row r="38" hidden="1" x14ac:dyDescent="0.2"/>
    <row r="39" hidden="1" x14ac:dyDescent="0.2"/>
    <row r="40" hidden="1" x14ac:dyDescent="0.2"/>
    <row r="41" hidden="1" x14ac:dyDescent="0.2"/>
    <row r="42" hidden="1" x14ac:dyDescent="0.2"/>
    <row r="43" hidden="1" x14ac:dyDescent="0.2"/>
    <row r="44" hidden="1" x14ac:dyDescent="0.2"/>
    <row r="45" hidden="1" x14ac:dyDescent="0.2"/>
    <row r="46" hidden="1" x14ac:dyDescent="0.2"/>
    <row r="47" hidden="1" x14ac:dyDescent="0.2"/>
    <row r="48" hidden="1" x14ac:dyDescent="0.2"/>
    <row r="49" hidden="1" x14ac:dyDescent="0.2"/>
    <row r="50" hidden="1" x14ac:dyDescent="0.2"/>
    <row r="51" hidden="1" x14ac:dyDescent="0.2"/>
    <row r="52" hidden="1" x14ac:dyDescent="0.2"/>
    <row r="53" hidden="1" x14ac:dyDescent="0.2"/>
    <row r="54" hidden="1" x14ac:dyDescent="0.2"/>
    <row r="55" hidden="1" x14ac:dyDescent="0.2"/>
    <row r="56" hidden="1" x14ac:dyDescent="0.2"/>
    <row r="57" hidden="1" x14ac:dyDescent="0.2"/>
    <row r="58" hidden="1" x14ac:dyDescent="0.2"/>
    <row r="59" hidden="1" x14ac:dyDescent="0.2"/>
    <row r="60" hidden="1" x14ac:dyDescent="0.2"/>
    <row r="61" hidden="1" x14ac:dyDescent="0.2"/>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1027" r:id="rId4" name="AxRegion">
          <controlPr defaultSize="0" autoLine="0" listFillRange="MRegion" r:id="rId5">
            <anchor moveWithCells="1">
              <from>
                <xdr:col>5</xdr:col>
                <xdr:colOff>561975</xdr:colOff>
                <xdr:row>16</xdr:row>
                <xdr:rowOff>28575</xdr:rowOff>
              </from>
              <to>
                <xdr:col>8</xdr:col>
                <xdr:colOff>342900</xdr:colOff>
                <xdr:row>18</xdr:row>
                <xdr:rowOff>47625</xdr:rowOff>
              </to>
            </anchor>
          </controlPr>
        </control>
      </mc:Choice>
      <mc:Fallback>
        <control shapeId="1027" r:id="rId4" name="AxRegion"/>
      </mc:Fallback>
    </mc:AlternateContent>
    <mc:AlternateContent xmlns:mc="http://schemas.openxmlformats.org/markup-compatibility/2006">
      <mc:Choice Requires="x14">
        <control shapeId="1025" r:id="rId6" name="Button 1">
          <controlPr defaultSize="0" autoFill="0" autoPict="0" macro="[0]!Import_Sales">
            <anchor moveWithCells="1" sizeWithCells="1">
              <from>
                <xdr:col>1</xdr:col>
                <xdr:colOff>590550</xdr:colOff>
                <xdr:row>13</xdr:row>
                <xdr:rowOff>28575</xdr:rowOff>
              </from>
              <to>
                <xdr:col>3</xdr:col>
                <xdr:colOff>390525</xdr:colOff>
                <xdr:row>15</xdr:row>
                <xdr:rowOff>114300</xdr:rowOff>
              </to>
            </anchor>
          </controlPr>
        </control>
      </mc:Choice>
    </mc:AlternateContent>
    <mc:AlternateContent xmlns:mc="http://schemas.openxmlformats.org/markup-compatibility/2006">
      <mc:Choice Requires="x14">
        <control shapeId="1028" r:id="rId7" name="Button 4">
          <controlPr defaultSize="0" autoFill="0" autoPict="0" macro="[0]!create_reports">
            <anchor moveWithCells="1" sizeWithCells="1">
              <from>
                <xdr:col>5</xdr:col>
                <xdr:colOff>495300</xdr:colOff>
                <xdr:row>13</xdr:row>
                <xdr:rowOff>47625</xdr:rowOff>
              </from>
              <to>
                <xdr:col>8</xdr:col>
                <xdr:colOff>333375</xdr:colOff>
                <xdr:row>15</xdr:row>
                <xdr:rowOff>104775</xdr:rowOff>
              </to>
            </anchor>
          </controlPr>
        </control>
      </mc:Choice>
    </mc:AlternateContent>
    <mc:AlternateContent xmlns:mc="http://schemas.openxmlformats.org/markup-compatibility/2006">
      <mc:Choice Requires="x14">
        <control shapeId="1029" r:id="rId8" name="Button 5">
          <controlPr defaultSize="0" autoFill="0" autoPict="0" macro="[0]!create_csv">
            <anchor moveWithCells="1" sizeWithCells="1">
              <from>
                <xdr:col>9</xdr:col>
                <xdr:colOff>409575</xdr:colOff>
                <xdr:row>13</xdr:row>
                <xdr:rowOff>66675</xdr:rowOff>
              </from>
              <to>
                <xdr:col>11</xdr:col>
                <xdr:colOff>590550</xdr:colOff>
                <xdr:row>15</xdr:row>
                <xdr:rowOff>123825</xdr:rowOff>
              </to>
            </anchor>
          </controlPr>
        </control>
      </mc:Choice>
    </mc:AlternateContent>
    <mc:AlternateContent xmlns:mc="http://schemas.openxmlformats.org/markup-compatibility/2006">
      <mc:Choice Requires="x14">
        <control shapeId="1030" r:id="rId9" name="Button 6">
          <controlPr defaultSize="0" autoFill="0" autoPict="0" macro="[0]!clear_oldmonth">
            <anchor moveWithCells="1" sizeWithCells="1">
              <from>
                <xdr:col>13</xdr:col>
                <xdr:colOff>247650</xdr:colOff>
                <xdr:row>13</xdr:row>
                <xdr:rowOff>57150</xdr:rowOff>
              </from>
              <to>
                <xdr:col>15</xdr:col>
                <xdr:colOff>409575</xdr:colOff>
                <xdr:row>15</xdr:row>
                <xdr:rowOff>114300</xdr:rowOff>
              </to>
            </anchor>
          </controlPr>
        </control>
      </mc:Choice>
    </mc:AlternateContent>
    <mc:AlternateContent xmlns:mc="http://schemas.openxmlformats.org/markup-compatibility/2006">
      <mc:Choice Requires="x14">
        <control shapeId="1031" r:id="rId10" name="Button 7">
          <controlPr defaultSize="0" autoFill="0" autoPict="0" macro="[0]!admin_tasks">
            <anchor moveWithCells="1" sizeWithCells="1">
              <from>
                <xdr:col>13</xdr:col>
                <xdr:colOff>323850</xdr:colOff>
                <xdr:row>18</xdr:row>
                <xdr:rowOff>57150</xdr:rowOff>
              </from>
              <to>
                <xdr:col>15</xdr:col>
                <xdr:colOff>409575</xdr:colOff>
                <xdr:row>20</xdr:row>
                <xdr:rowOff>57150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All"/>
  <dimension ref="A1:H1"/>
  <sheetViews>
    <sheetView workbookViewId="0">
      <selection activeCell="B16" sqref="B16"/>
    </sheetView>
  </sheetViews>
  <sheetFormatPr defaultColWidth="9.140625" defaultRowHeight="12.75" x14ac:dyDescent="0.2"/>
  <cols>
    <col min="1" max="1" width="13.5703125" style="8" customWidth="1"/>
    <col min="2" max="8" width="16" style="8" customWidth="1"/>
    <col min="9" max="16384" width="9.140625" style="8"/>
  </cols>
  <sheetData>
    <row r="1" spans="1:8" s="10" customFormat="1" x14ac:dyDescent="0.2">
      <c r="A1" s="9" t="s">
        <v>39</v>
      </c>
      <c r="B1" s="9" t="s">
        <v>2</v>
      </c>
      <c r="C1" s="9" t="s">
        <v>40</v>
      </c>
      <c r="D1" s="9" t="s">
        <v>49</v>
      </c>
      <c r="E1" s="9" t="s">
        <v>52</v>
      </c>
      <c r="F1" s="9" t="s">
        <v>43</v>
      </c>
      <c r="G1" s="9" t="s">
        <v>41</v>
      </c>
      <c r="H1" s="9" t="s">
        <v>42</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Region"/>
  <dimension ref="A1:AV43"/>
  <sheetViews>
    <sheetView topLeftCell="J1" zoomScaleNormal="100" workbookViewId="0">
      <selection activeCell="A2" sqref="A2:H43"/>
    </sheetView>
  </sheetViews>
  <sheetFormatPr defaultRowHeight="12.75" x14ac:dyDescent="0.2"/>
  <cols>
    <col min="1" max="1" width="14.140625" customWidth="1"/>
    <col min="2" max="2" width="17.85546875" customWidth="1"/>
    <col min="3" max="3" width="17" customWidth="1"/>
    <col min="4" max="4" width="16.7109375" customWidth="1"/>
    <col min="5" max="5" width="14" customWidth="1"/>
    <col min="7" max="7" width="10.7109375" customWidth="1"/>
    <col min="8" max="8" width="22.42578125" customWidth="1"/>
    <col min="9" max="10" width="17.5703125" customWidth="1"/>
    <col min="11" max="11" width="33" customWidth="1"/>
    <col min="12" max="12" width="11.28515625" customWidth="1"/>
    <col min="18" max="18" width="5.140625" customWidth="1"/>
    <col min="19" max="19" width="30" customWidth="1"/>
    <col min="20" max="20" width="11.5703125" customWidth="1"/>
    <col min="21" max="21" width="8" bestFit="1" customWidth="1"/>
    <col min="29" max="29" width="7" customWidth="1"/>
    <col min="30" max="30" width="30.42578125" bestFit="1" customWidth="1"/>
    <col min="31" max="31" width="9.28515625" customWidth="1"/>
    <col min="32" max="32" width="15.7109375" bestFit="1" customWidth="1"/>
    <col min="34" max="34" width="30.42578125" bestFit="1" customWidth="1"/>
    <col min="35" max="35" width="15" bestFit="1" customWidth="1"/>
    <col min="36" max="36" width="8.7109375" bestFit="1" customWidth="1"/>
    <col min="37" max="37" width="15.28515625" customWidth="1"/>
    <col min="38" max="38" width="10.85546875" customWidth="1"/>
    <col min="39" max="39" width="7.140625" bestFit="1" customWidth="1"/>
    <col min="40" max="40" width="11.7109375" bestFit="1" customWidth="1"/>
    <col min="41" max="41" width="37.42578125" bestFit="1" customWidth="1"/>
    <col min="42" max="42" width="22.5703125" bestFit="1" customWidth="1"/>
    <col min="43" max="43" width="15.7109375" bestFit="1" customWidth="1"/>
    <col min="44" max="44" width="27.7109375" customWidth="1"/>
    <col min="45" max="45" width="26.7109375" bestFit="1" customWidth="1"/>
    <col min="46" max="46" width="26.85546875" bestFit="1" customWidth="1"/>
    <col min="47" max="47" width="11.7109375" bestFit="1" customWidth="1"/>
  </cols>
  <sheetData>
    <row r="1" spans="1:48" ht="25.5" x14ac:dyDescent="0.2">
      <c r="A1" s="14" t="s">
        <v>66</v>
      </c>
      <c r="B1" s="14" t="s">
        <v>2</v>
      </c>
      <c r="C1" s="14" t="s">
        <v>40</v>
      </c>
      <c r="D1" s="14" t="s">
        <v>49</v>
      </c>
      <c r="E1" s="14" t="s">
        <v>52</v>
      </c>
      <c r="F1" s="14" t="s">
        <v>43</v>
      </c>
      <c r="G1" s="14" t="s">
        <v>41</v>
      </c>
      <c r="H1" s="14" t="s">
        <v>63</v>
      </c>
      <c r="I1" s="14" t="s">
        <v>35</v>
      </c>
      <c r="J1" s="14" t="s">
        <v>44</v>
      </c>
      <c r="K1" s="14" t="s">
        <v>64</v>
      </c>
      <c r="L1" s="14" t="s">
        <v>3</v>
      </c>
      <c r="M1" s="16" t="s">
        <v>65</v>
      </c>
      <c r="R1" s="19"/>
      <c r="S1" s="19" t="s">
        <v>67</v>
      </c>
      <c r="T1" s="19"/>
      <c r="U1" s="19">
        <v>201810</v>
      </c>
      <c r="AC1" s="19"/>
      <c r="AD1" s="19" t="s">
        <v>75</v>
      </c>
      <c r="AE1" s="19"/>
      <c r="AF1" s="19"/>
      <c r="AG1" s="19"/>
      <c r="AH1" s="19"/>
      <c r="AI1" s="19"/>
      <c r="AJ1" s="19"/>
      <c r="AK1" s="19"/>
      <c r="AL1" s="27"/>
      <c r="AM1" s="27"/>
      <c r="AN1" s="19"/>
      <c r="AO1" s="19" t="s">
        <v>78</v>
      </c>
      <c r="AP1" s="19"/>
      <c r="AQ1" s="19"/>
      <c r="AR1" s="19"/>
      <c r="AS1" s="27"/>
      <c r="AT1" s="27"/>
      <c r="AU1" s="27"/>
      <c r="AV1" s="27"/>
    </row>
    <row r="2" spans="1:48" x14ac:dyDescent="0.2">
      <c r="A2" s="8" t="s">
        <v>28</v>
      </c>
      <c r="B2">
        <v>66030</v>
      </c>
      <c r="C2" s="13">
        <v>43377</v>
      </c>
      <c r="D2">
        <v>8010</v>
      </c>
      <c r="E2">
        <v>103</v>
      </c>
      <c r="F2" t="s">
        <v>62</v>
      </c>
      <c r="G2">
        <v>120</v>
      </c>
      <c r="H2">
        <v>1440</v>
      </c>
      <c r="I2" t="str">
        <f>VLOOKUP(TableTemp[[#This Row],[Company]],MCompany[],2,FALSE)</f>
        <v>Urban Right</v>
      </c>
      <c r="J2" t="str">
        <f>VLOOKUP(TableTemp[[#This Row],[Customer code]],MCustomer[],2,FALSE)</f>
        <v>Dellicia</v>
      </c>
      <c r="K2" t="str">
        <f>VLOOKUP(TableTemp[[#This Row],[Article code]], MArticle[], 2,FALSE)</f>
        <v>Women type T simple white</v>
      </c>
      <c r="L2" t="str">
        <f>VLOOKUP(TableTemp[[#This Row],[Company]],MCompany[],3,FALSE)</f>
        <v>USD</v>
      </c>
      <c r="M2" s="15">
        <f>IF(TableTemp[[#This Row],[Currency]]="EUR",ROUND(VLOOKUP(MONTH(TableTemp[[#This Row],[Document Date]]),MExchange[],2,FALSE)*TableTemp[[#This Row],[Sales Local Currency]],2),ROUND(TableTemp[[#This Row],[Sales Local Currency]],2))</f>
        <v>1440</v>
      </c>
    </row>
    <row r="3" spans="1:48" x14ac:dyDescent="0.2">
      <c r="A3" s="8" t="s">
        <v>28</v>
      </c>
      <c r="B3">
        <v>66030</v>
      </c>
      <c r="C3" s="13">
        <v>43377</v>
      </c>
      <c r="D3">
        <v>8010</v>
      </c>
      <c r="E3">
        <v>104</v>
      </c>
      <c r="G3">
        <v>150</v>
      </c>
      <c r="H3">
        <v>1800</v>
      </c>
      <c r="I3" s="15" t="str">
        <f>VLOOKUP(TableTemp[[#This Row],[Company]],MCompany[],2,FALSE)</f>
        <v>Urban Right</v>
      </c>
      <c r="J3" s="15" t="str">
        <f>VLOOKUP(TableTemp[[#This Row],[Customer code]],MCustomer[],2,FALSE)</f>
        <v>Dellicia</v>
      </c>
      <c r="K3" s="15" t="str">
        <f>VLOOKUP(TableTemp[[#This Row],[Article code]], MArticle[], 2,FALSE)</f>
        <v>Women type T simple black</v>
      </c>
      <c r="L3" s="15" t="str">
        <f>VLOOKUP(TableTemp[[#This Row],[Company]],MCompany[],3,FALSE)</f>
        <v>USD</v>
      </c>
      <c r="M3" s="15">
        <f>IF(TableTemp[[#This Row],[Currency]]="EUR",ROUND(VLOOKUP(MONTH(TableTemp[[#This Row],[Document Date]]),MExchange[],2,FALSE)*TableTemp[[#This Row],[Sales Local Currency]],2),ROUND(TableTemp[[#This Row],[Sales Local Currency]],2))</f>
        <v>1800</v>
      </c>
      <c r="R3" s="18"/>
      <c r="S3" s="20" t="s">
        <v>69</v>
      </c>
      <c r="T3" t="s">
        <v>70</v>
      </c>
      <c r="U3" s="22" t="s">
        <v>71</v>
      </c>
      <c r="AC3" s="25"/>
    </row>
    <row r="4" spans="1:48" x14ac:dyDescent="0.2">
      <c r="A4" s="8" t="s">
        <v>28</v>
      </c>
      <c r="B4">
        <v>66032</v>
      </c>
      <c r="C4" s="13">
        <v>43380</v>
      </c>
      <c r="D4">
        <v>8010</v>
      </c>
      <c r="E4">
        <v>103</v>
      </c>
      <c r="G4">
        <v>170</v>
      </c>
      <c r="H4">
        <v>2040</v>
      </c>
      <c r="I4" s="15" t="str">
        <f>VLOOKUP(TableTemp[[#This Row],[Company]],MCompany[],2,FALSE)</f>
        <v>Urban Right</v>
      </c>
      <c r="J4" s="15" t="str">
        <f>VLOOKUP(TableTemp[[#This Row],[Customer code]],MCustomer[],2,FALSE)</f>
        <v>Dellicia</v>
      </c>
      <c r="K4" s="15" t="str">
        <f>VLOOKUP(TableTemp[[#This Row],[Article code]], MArticle[], 2,FALSE)</f>
        <v>Women type T simple white</v>
      </c>
      <c r="L4" s="15" t="str">
        <f>VLOOKUP(TableTemp[[#This Row],[Company]],MCompany[],3,FALSE)</f>
        <v>USD</v>
      </c>
      <c r="M4" s="15">
        <f>IF(TableTemp[[#This Row],[Currency]]="EUR",ROUND(VLOOKUP(MONTH(TableTemp[[#This Row],[Document Date]]),MExchange[],2,FALSE)*TableTemp[[#This Row],[Sales Local Currency]],2),ROUND(TableTemp[[#This Row],[Sales Local Currency]],2))</f>
        <v>2040</v>
      </c>
      <c r="R4" s="18"/>
      <c r="S4" s="21" t="s">
        <v>47</v>
      </c>
      <c r="T4" s="23">
        <v>28620</v>
      </c>
      <c r="U4" s="24">
        <v>0.43298033282904691</v>
      </c>
      <c r="AC4" s="25"/>
      <c r="AO4" s="20" t="s">
        <v>72</v>
      </c>
      <c r="AP4" t="s">
        <v>79</v>
      </c>
      <c r="AQ4" t="s">
        <v>73</v>
      </c>
    </row>
    <row r="5" spans="1:48" x14ac:dyDescent="0.2">
      <c r="A5" s="8" t="s">
        <v>28</v>
      </c>
      <c r="B5">
        <v>66032</v>
      </c>
      <c r="C5" s="13">
        <v>43380</v>
      </c>
      <c r="D5">
        <v>8010</v>
      </c>
      <c r="E5">
        <v>104</v>
      </c>
      <c r="G5">
        <v>140</v>
      </c>
      <c r="H5">
        <v>1680</v>
      </c>
      <c r="I5" s="15" t="str">
        <f>VLOOKUP(TableTemp[[#This Row],[Company]],MCompany[],2,FALSE)</f>
        <v>Urban Right</v>
      </c>
      <c r="J5" s="15" t="str">
        <f>VLOOKUP(TableTemp[[#This Row],[Customer code]],MCustomer[],2,FALSE)</f>
        <v>Dellicia</v>
      </c>
      <c r="K5" s="15" t="str">
        <f>VLOOKUP(TableTemp[[#This Row],[Article code]], MArticle[], 2,FALSE)</f>
        <v>Women type T simple black</v>
      </c>
      <c r="L5" s="15" t="str">
        <f>VLOOKUP(TableTemp[[#This Row],[Company]],MCompany[],3,FALSE)</f>
        <v>USD</v>
      </c>
      <c r="M5" s="15">
        <f>IF(TableTemp[[#This Row],[Currency]]="EUR",ROUND(VLOOKUP(MONTH(TableTemp[[#This Row],[Document Date]]),MExchange[],2,FALSE)*TableTemp[[#This Row],[Sales Local Currency]],2),ROUND(TableTemp[[#This Row],[Sales Local Currency]],2))</f>
        <v>1680</v>
      </c>
      <c r="R5" s="18"/>
      <c r="S5" s="21" t="s">
        <v>45</v>
      </c>
      <c r="T5" s="23">
        <v>37480</v>
      </c>
      <c r="U5" s="24">
        <v>0.56701966717095309</v>
      </c>
      <c r="AC5" s="25"/>
      <c r="AO5" s="21" t="s">
        <v>32</v>
      </c>
      <c r="AP5" s="15">
        <v>66100</v>
      </c>
      <c r="AQ5" s="15">
        <v>6120</v>
      </c>
    </row>
    <row r="6" spans="1:48" x14ac:dyDescent="0.2">
      <c r="A6" s="8" t="s">
        <v>28</v>
      </c>
      <c r="B6">
        <v>66031</v>
      </c>
      <c r="C6" s="13">
        <v>43381</v>
      </c>
      <c r="D6">
        <v>8020</v>
      </c>
      <c r="E6">
        <v>103</v>
      </c>
      <c r="F6">
        <v>1</v>
      </c>
      <c r="G6">
        <v>140</v>
      </c>
      <c r="H6">
        <v>1680</v>
      </c>
      <c r="I6" s="15" t="str">
        <f>VLOOKUP(TableTemp[[#This Row],[Company]],MCompany[],2,FALSE)</f>
        <v>Urban Right</v>
      </c>
      <c r="J6" s="15" t="str">
        <f>VLOOKUP(TableTemp[[#This Row],[Customer code]],MCustomer[],2,FALSE)</f>
        <v>Erma</v>
      </c>
      <c r="K6" s="15" t="str">
        <f>VLOOKUP(TableTemp[[#This Row],[Article code]], MArticle[], 2,FALSE)</f>
        <v>Women type T simple white</v>
      </c>
      <c r="L6" s="15" t="str">
        <f>VLOOKUP(TableTemp[[#This Row],[Company]],MCompany[],3,FALSE)</f>
        <v>USD</v>
      </c>
      <c r="M6" s="15">
        <f>IF(TableTemp[[#This Row],[Currency]]="EUR",ROUND(VLOOKUP(MONTH(TableTemp[[#This Row],[Document Date]]),MExchange[],2,FALSE)*TableTemp[[#This Row],[Sales Local Currency]],2),ROUND(TableTemp[[#This Row],[Sales Local Currency]],2))</f>
        <v>1680</v>
      </c>
      <c r="R6" s="18"/>
      <c r="S6" s="21" t="s">
        <v>68</v>
      </c>
      <c r="T6" s="23">
        <v>66100</v>
      </c>
      <c r="U6" s="24">
        <v>1</v>
      </c>
      <c r="AC6" s="25"/>
      <c r="AO6" s="28" t="s">
        <v>45</v>
      </c>
      <c r="AP6" s="15">
        <v>37480</v>
      </c>
      <c r="AQ6" s="15">
        <v>3270</v>
      </c>
    </row>
    <row r="7" spans="1:48" x14ac:dyDescent="0.2">
      <c r="A7" s="8" t="s">
        <v>28</v>
      </c>
      <c r="B7">
        <v>66031</v>
      </c>
      <c r="C7" s="13">
        <v>43381</v>
      </c>
      <c r="D7">
        <v>8020</v>
      </c>
      <c r="E7">
        <v>104</v>
      </c>
      <c r="G7">
        <v>150</v>
      </c>
      <c r="H7">
        <v>1800</v>
      </c>
      <c r="I7" s="15" t="str">
        <f>VLOOKUP(TableTemp[[#This Row],[Company]],MCompany[],2,FALSE)</f>
        <v>Urban Right</v>
      </c>
      <c r="J7" s="15" t="str">
        <f>VLOOKUP(TableTemp[[#This Row],[Customer code]],MCustomer[],2,FALSE)</f>
        <v>Erma</v>
      </c>
      <c r="K7" s="15" t="str">
        <f>VLOOKUP(TableTemp[[#This Row],[Article code]], MArticle[], 2,FALSE)</f>
        <v>Women type T simple black</v>
      </c>
      <c r="L7" s="15" t="str">
        <f>VLOOKUP(TableTemp[[#This Row],[Company]],MCompany[],3,FALSE)</f>
        <v>USD</v>
      </c>
      <c r="M7" s="15">
        <f>IF(TableTemp[[#This Row],[Currency]]="EUR",ROUND(VLOOKUP(MONTH(TableTemp[[#This Row],[Document Date]]),MExchange[],2,FALSE)*TableTemp[[#This Row],[Sales Local Currency]],2),ROUND(TableTemp[[#This Row],[Sales Local Currency]],2))</f>
        <v>1800</v>
      </c>
      <c r="R7" s="18"/>
      <c r="AC7" s="25"/>
      <c r="AO7" s="29" t="s">
        <v>4</v>
      </c>
      <c r="AP7" s="15">
        <v>8800</v>
      </c>
      <c r="AQ7" s="15">
        <v>880</v>
      </c>
    </row>
    <row r="8" spans="1:48" x14ac:dyDescent="0.2">
      <c r="A8" s="8" t="s">
        <v>28</v>
      </c>
      <c r="B8">
        <v>66031</v>
      </c>
      <c r="C8" s="13">
        <v>43381</v>
      </c>
      <c r="D8">
        <v>8020</v>
      </c>
      <c r="E8">
        <v>105</v>
      </c>
      <c r="G8">
        <v>100</v>
      </c>
      <c r="H8">
        <v>1000</v>
      </c>
      <c r="I8" s="15" t="str">
        <f>VLOOKUP(TableTemp[[#This Row],[Company]],MCompany[],2,FALSE)</f>
        <v>Urban Right</v>
      </c>
      <c r="J8" s="15" t="str">
        <f>VLOOKUP(TableTemp[[#This Row],[Customer code]],MCustomer[],2,FALSE)</f>
        <v>Erma</v>
      </c>
      <c r="K8" s="15" t="str">
        <f>VLOOKUP(TableTemp[[#This Row],[Article code]], MArticle[], 2,FALSE)</f>
        <v>Women crop top black</v>
      </c>
      <c r="L8" s="15" t="str">
        <f>VLOOKUP(TableTemp[[#This Row],[Company]],MCompany[],3,FALSE)</f>
        <v>USD</v>
      </c>
      <c r="M8" s="15">
        <f>IF(TableTemp[[#This Row],[Currency]]="EUR",ROUND(VLOOKUP(MONTH(TableTemp[[#This Row],[Document Date]]),MExchange[],2,FALSE)*TableTemp[[#This Row],[Sales Local Currency]],2),ROUND(TableTemp[[#This Row],[Sales Local Currency]],2))</f>
        <v>1000</v>
      </c>
      <c r="R8" s="18"/>
      <c r="AC8" s="25"/>
      <c r="AO8" s="29" t="s">
        <v>9</v>
      </c>
      <c r="AP8" s="15">
        <v>18120</v>
      </c>
      <c r="AQ8" s="15">
        <v>1510</v>
      </c>
    </row>
    <row r="9" spans="1:48" x14ac:dyDescent="0.2">
      <c r="A9" s="8" t="s">
        <v>28</v>
      </c>
      <c r="B9">
        <v>68112</v>
      </c>
      <c r="C9" s="13">
        <v>43384</v>
      </c>
      <c r="D9">
        <v>8010</v>
      </c>
      <c r="E9">
        <v>104</v>
      </c>
      <c r="F9">
        <v>4</v>
      </c>
      <c r="G9">
        <v>180</v>
      </c>
      <c r="H9">
        <v>2160</v>
      </c>
      <c r="I9" s="15" t="str">
        <f>VLOOKUP(TableTemp[[#This Row],[Company]],MCompany[],2,FALSE)</f>
        <v>Urban Right</v>
      </c>
      <c r="J9" s="15" t="str">
        <f>VLOOKUP(TableTemp[[#This Row],[Customer code]],MCustomer[],2,FALSE)</f>
        <v>Dellicia</v>
      </c>
      <c r="K9" s="15" t="str">
        <f>VLOOKUP(TableTemp[[#This Row],[Article code]], MArticle[], 2,FALSE)</f>
        <v>Women type T simple black</v>
      </c>
      <c r="L9" s="15" t="str">
        <f>VLOOKUP(TableTemp[[#This Row],[Company]],MCompany[],3,FALSE)</f>
        <v>USD</v>
      </c>
      <c r="M9" s="15">
        <f>IF(TableTemp[[#This Row],[Currency]]="EUR",ROUND(VLOOKUP(MONTH(TableTemp[[#This Row],[Document Date]]),MExchange[],2,FALSE)*TableTemp[[#This Row],[Sales Local Currency]],2),ROUND(TableTemp[[#This Row],[Sales Local Currency]],2))</f>
        <v>2160</v>
      </c>
      <c r="R9" s="18"/>
      <c r="V9" s="17"/>
      <c r="AC9" s="25"/>
      <c r="AO9" s="29" t="s">
        <v>8</v>
      </c>
      <c r="AP9" s="15">
        <v>10560</v>
      </c>
      <c r="AQ9" s="15">
        <v>880</v>
      </c>
    </row>
    <row r="10" spans="1:48" x14ac:dyDescent="0.2">
      <c r="A10" s="8" t="s">
        <v>28</v>
      </c>
      <c r="B10">
        <v>68112</v>
      </c>
      <c r="C10" s="13">
        <v>43384</v>
      </c>
      <c r="D10">
        <v>8010</v>
      </c>
      <c r="E10">
        <v>105</v>
      </c>
      <c r="G10">
        <v>120</v>
      </c>
      <c r="H10">
        <v>1200</v>
      </c>
      <c r="I10" s="15" t="str">
        <f>VLOOKUP(TableTemp[[#This Row],[Company]],MCompany[],2,FALSE)</f>
        <v>Urban Right</v>
      </c>
      <c r="J10" s="15" t="str">
        <f>VLOOKUP(TableTemp[[#This Row],[Customer code]],MCustomer[],2,FALSE)</f>
        <v>Dellicia</v>
      </c>
      <c r="K10" s="15" t="str">
        <f>VLOOKUP(TableTemp[[#This Row],[Article code]], MArticle[], 2,FALSE)</f>
        <v>Women crop top black</v>
      </c>
      <c r="L10" s="15" t="str">
        <f>VLOOKUP(TableTemp[[#This Row],[Company]],MCompany[],3,FALSE)</f>
        <v>USD</v>
      </c>
      <c r="M10" s="15">
        <f>IF(TableTemp[[#This Row],[Currency]]="EUR",ROUND(VLOOKUP(MONTH(TableTemp[[#This Row],[Document Date]]),MExchange[],2,FALSE)*TableTemp[[#This Row],[Sales Local Currency]],2),ROUND(TableTemp[[#This Row],[Sales Local Currency]],2))</f>
        <v>1200</v>
      </c>
      <c r="R10" s="18"/>
      <c r="AC10" s="25"/>
      <c r="AD10" s="20" t="s">
        <v>72</v>
      </c>
      <c r="AE10" s="22" t="s">
        <v>70</v>
      </c>
      <c r="AF10" s="22" t="s">
        <v>73</v>
      </c>
      <c r="AH10" s="20" t="s">
        <v>72</v>
      </c>
      <c r="AI10" s="22" t="s">
        <v>77</v>
      </c>
      <c r="AJ10" s="22" t="s">
        <v>76</v>
      </c>
      <c r="AO10" s="28" t="s">
        <v>47</v>
      </c>
      <c r="AP10" s="15">
        <v>28620</v>
      </c>
      <c r="AQ10" s="15">
        <v>2850</v>
      </c>
    </row>
    <row r="11" spans="1:48" x14ac:dyDescent="0.2">
      <c r="A11" s="8" t="s">
        <v>28</v>
      </c>
      <c r="B11">
        <v>68116</v>
      </c>
      <c r="C11" s="13">
        <v>43384</v>
      </c>
      <c r="D11">
        <v>8020</v>
      </c>
      <c r="E11">
        <v>104</v>
      </c>
      <c r="G11">
        <v>150</v>
      </c>
      <c r="H11">
        <v>1800</v>
      </c>
      <c r="I11" s="15" t="str">
        <f>VLOOKUP(TableTemp[[#This Row],[Company]],MCompany[],2,FALSE)</f>
        <v>Urban Right</v>
      </c>
      <c r="J11" s="15" t="str">
        <f>VLOOKUP(TableTemp[[#This Row],[Customer code]],MCustomer[],2,FALSE)</f>
        <v>Erma</v>
      </c>
      <c r="K11" s="15" t="str">
        <f>VLOOKUP(TableTemp[[#This Row],[Article code]], MArticle[], 2,FALSE)</f>
        <v>Women type T simple black</v>
      </c>
      <c r="L11" s="15" t="str">
        <f>VLOOKUP(TableTemp[[#This Row],[Company]],MCompany[],3,FALSE)</f>
        <v>USD</v>
      </c>
      <c r="M11" s="15">
        <f>IF(TableTemp[[#This Row],[Currency]]="EUR",ROUND(VLOOKUP(MONTH(TableTemp[[#This Row],[Document Date]]),MExchange[],2,FALSE)*TableTemp[[#This Row],[Sales Local Currency]],2),ROUND(TableTemp[[#This Row],[Sales Local Currency]],2))</f>
        <v>1800</v>
      </c>
      <c r="R11" s="18"/>
      <c r="AC11" s="25"/>
      <c r="AD11" s="21" t="s">
        <v>10</v>
      </c>
      <c r="AE11" s="26">
        <v>3200</v>
      </c>
      <c r="AF11" s="15">
        <v>640</v>
      </c>
      <c r="AH11" s="21" t="s">
        <v>10</v>
      </c>
      <c r="AI11" s="15">
        <v>2</v>
      </c>
      <c r="AJ11" s="24">
        <v>0.16666666666666666</v>
      </c>
      <c r="AO11" s="29" t="s">
        <v>10</v>
      </c>
      <c r="AP11" s="15">
        <v>3200</v>
      </c>
      <c r="AQ11" s="15">
        <v>640</v>
      </c>
    </row>
    <row r="12" spans="1:48" x14ac:dyDescent="0.2">
      <c r="A12" s="8" t="s">
        <v>28</v>
      </c>
      <c r="B12">
        <v>68116</v>
      </c>
      <c r="C12" s="13">
        <v>43384</v>
      </c>
      <c r="D12">
        <v>8020</v>
      </c>
      <c r="E12">
        <v>105</v>
      </c>
      <c r="G12">
        <v>190</v>
      </c>
      <c r="H12">
        <v>1900</v>
      </c>
      <c r="I12" s="15" t="str">
        <f>VLOOKUP(TableTemp[[#This Row],[Company]],MCompany[],2,FALSE)</f>
        <v>Urban Right</v>
      </c>
      <c r="J12" s="15" t="str">
        <f>VLOOKUP(TableTemp[[#This Row],[Customer code]],MCustomer[],2,FALSE)</f>
        <v>Erma</v>
      </c>
      <c r="K12" s="15" t="str">
        <f>VLOOKUP(TableTemp[[#This Row],[Article code]], MArticle[], 2,FALSE)</f>
        <v>Women crop top black</v>
      </c>
      <c r="L12" s="15" t="str">
        <f>VLOOKUP(TableTemp[[#This Row],[Company]],MCompany[],3,FALSE)</f>
        <v>USD</v>
      </c>
      <c r="M12" s="15">
        <f>IF(TableTemp[[#This Row],[Currency]]="EUR",ROUND(VLOOKUP(MONTH(TableTemp[[#This Row],[Document Date]]),MExchange[],2,FALSE)*TableTemp[[#This Row],[Sales Local Currency]],2),ROUND(TableTemp[[#This Row],[Sales Local Currency]],2))</f>
        <v>1900</v>
      </c>
      <c r="R12" s="18"/>
      <c r="AC12" s="25"/>
      <c r="AD12" s="21" t="s">
        <v>4</v>
      </c>
      <c r="AE12" s="26">
        <v>14300</v>
      </c>
      <c r="AF12" s="15">
        <v>1430</v>
      </c>
      <c r="AH12" s="21" t="s">
        <v>4</v>
      </c>
      <c r="AI12" s="15">
        <v>2</v>
      </c>
      <c r="AJ12" s="24">
        <v>0.16666666666666666</v>
      </c>
      <c r="AO12" s="29" t="s">
        <v>4</v>
      </c>
      <c r="AP12" s="15">
        <v>5500</v>
      </c>
      <c r="AQ12" s="15">
        <v>550</v>
      </c>
    </row>
    <row r="13" spans="1:48" x14ac:dyDescent="0.2">
      <c r="A13" s="8" t="s">
        <v>28</v>
      </c>
      <c r="B13">
        <v>68116</v>
      </c>
      <c r="C13" s="13">
        <v>43384</v>
      </c>
      <c r="D13">
        <v>8020</v>
      </c>
      <c r="E13">
        <v>107</v>
      </c>
      <c r="F13">
        <v>2</v>
      </c>
      <c r="G13">
        <v>160</v>
      </c>
      <c r="H13">
        <v>800</v>
      </c>
      <c r="I13" s="15" t="str">
        <f>VLOOKUP(TableTemp[[#This Row],[Company]],MCompany[],2,FALSE)</f>
        <v>Urban Right</v>
      </c>
      <c r="J13" s="15" t="str">
        <f>VLOOKUP(TableTemp[[#This Row],[Customer code]],MCustomer[],2,FALSE)</f>
        <v>Erma</v>
      </c>
      <c r="K13" s="15" t="str">
        <f>VLOOKUP(TableTemp[[#This Row],[Article code]], MArticle[], 2,FALSE)</f>
        <v>Women basics</v>
      </c>
      <c r="L13" s="15" t="str">
        <f>VLOOKUP(TableTemp[[#This Row],[Company]],MCompany[],3,FALSE)</f>
        <v>USD</v>
      </c>
      <c r="M13" s="15">
        <f>IF(TableTemp[[#This Row],[Currency]]="EUR",ROUND(VLOOKUP(MONTH(TableTemp[[#This Row],[Document Date]]),MExchange[],2,FALSE)*TableTemp[[#This Row],[Sales Local Currency]],2),ROUND(TableTemp[[#This Row],[Sales Local Currency]],2))</f>
        <v>800</v>
      </c>
      <c r="R13" s="18"/>
      <c r="AC13" s="25"/>
      <c r="AD13" s="21" t="s">
        <v>9</v>
      </c>
      <c r="AE13" s="26">
        <v>27960</v>
      </c>
      <c r="AF13" s="15">
        <v>2330</v>
      </c>
      <c r="AH13" s="21" t="s">
        <v>9</v>
      </c>
      <c r="AI13" s="15">
        <v>7</v>
      </c>
      <c r="AJ13" s="24">
        <v>0.33333333333333331</v>
      </c>
      <c r="AO13" s="29" t="s">
        <v>9</v>
      </c>
      <c r="AP13" s="15">
        <v>9840</v>
      </c>
      <c r="AQ13" s="15">
        <v>820</v>
      </c>
    </row>
    <row r="14" spans="1:48" x14ac:dyDescent="0.2">
      <c r="A14" s="8" t="s">
        <v>28</v>
      </c>
      <c r="B14">
        <v>68116</v>
      </c>
      <c r="C14" s="13">
        <v>43384</v>
      </c>
      <c r="D14">
        <v>8010</v>
      </c>
      <c r="E14">
        <v>104</v>
      </c>
      <c r="G14">
        <v>160</v>
      </c>
      <c r="H14">
        <v>1920</v>
      </c>
      <c r="I14" s="15" t="str">
        <f>VLOOKUP(TableTemp[[#This Row],[Company]],MCompany[],2,FALSE)</f>
        <v>Urban Right</v>
      </c>
      <c r="J14" s="15" t="str">
        <f>VLOOKUP(TableTemp[[#This Row],[Customer code]],MCustomer[],2,FALSE)</f>
        <v>Dellicia</v>
      </c>
      <c r="K14" s="15" t="str">
        <f>VLOOKUP(TableTemp[[#This Row],[Article code]], MArticle[], 2,FALSE)</f>
        <v>Women type T simple black</v>
      </c>
      <c r="L14" s="15" t="str">
        <f>VLOOKUP(TableTemp[[#This Row],[Company]],MCompany[],3,FALSE)</f>
        <v>USD</v>
      </c>
      <c r="M14" s="15">
        <f>IF(TableTemp[[#This Row],[Currency]]="EUR",ROUND(VLOOKUP(MONTH(TableTemp[[#This Row],[Document Date]]),MExchange[],2,FALSE)*TableTemp[[#This Row],[Sales Local Currency]],2),ROUND(TableTemp[[#This Row],[Sales Local Currency]],2))</f>
        <v>1920</v>
      </c>
      <c r="R14" s="18"/>
      <c r="AC14" s="25"/>
      <c r="AD14" s="21" t="s">
        <v>8</v>
      </c>
      <c r="AE14" s="26">
        <v>20640</v>
      </c>
      <c r="AF14" s="15">
        <v>1720</v>
      </c>
      <c r="AH14" s="21" t="s">
        <v>8</v>
      </c>
      <c r="AI14" s="15">
        <v>1</v>
      </c>
      <c r="AJ14" s="24">
        <v>0.33333333333333331</v>
      </c>
      <c r="AO14" s="29" t="s">
        <v>8</v>
      </c>
      <c r="AP14" s="15">
        <v>10080</v>
      </c>
      <c r="AQ14" s="15">
        <v>840</v>
      </c>
    </row>
    <row r="15" spans="1:48" x14ac:dyDescent="0.2">
      <c r="A15" s="8" t="s">
        <v>28</v>
      </c>
      <c r="B15">
        <v>68116</v>
      </c>
      <c r="C15" s="13">
        <v>43384</v>
      </c>
      <c r="D15">
        <v>8010</v>
      </c>
      <c r="E15">
        <v>105</v>
      </c>
      <c r="G15">
        <v>190</v>
      </c>
      <c r="H15">
        <v>1900</v>
      </c>
      <c r="I15" s="15" t="str">
        <f>VLOOKUP(TableTemp[[#This Row],[Company]],MCompany[],2,FALSE)</f>
        <v>Urban Right</v>
      </c>
      <c r="J15" s="15" t="str">
        <f>VLOOKUP(TableTemp[[#This Row],[Customer code]],MCustomer[],2,FALSE)</f>
        <v>Dellicia</v>
      </c>
      <c r="K15" s="15" t="str">
        <f>VLOOKUP(TableTemp[[#This Row],[Article code]], MArticle[], 2,FALSE)</f>
        <v>Women crop top black</v>
      </c>
      <c r="L15" s="15" t="str">
        <f>VLOOKUP(TableTemp[[#This Row],[Company]],MCompany[],3,FALSE)</f>
        <v>USD</v>
      </c>
      <c r="M15" s="15">
        <f>IF(TableTemp[[#This Row],[Currency]]="EUR",ROUND(VLOOKUP(MONTH(TableTemp[[#This Row],[Document Date]]),MExchange[],2,FALSE)*TableTemp[[#This Row],[Sales Local Currency]],2),ROUND(TableTemp[[#This Row],[Sales Local Currency]],2))</f>
        <v>1900</v>
      </c>
      <c r="R15" s="18"/>
      <c r="AC15" s="25"/>
      <c r="AD15" s="21" t="s">
        <v>74</v>
      </c>
      <c r="AE15" s="26">
        <v>66100</v>
      </c>
      <c r="AF15" s="15">
        <v>6120</v>
      </c>
      <c r="AH15" s="21" t="s">
        <v>68</v>
      </c>
      <c r="AI15" s="15">
        <v>12</v>
      </c>
      <c r="AJ15" s="24">
        <v>1</v>
      </c>
      <c r="AO15" s="21" t="s">
        <v>68</v>
      </c>
      <c r="AP15" s="15">
        <v>66100</v>
      </c>
      <c r="AQ15" s="15">
        <v>6120</v>
      </c>
    </row>
    <row r="16" spans="1:48" x14ac:dyDescent="0.2">
      <c r="A16" s="8" t="s">
        <v>28</v>
      </c>
      <c r="B16">
        <v>65662</v>
      </c>
      <c r="C16" s="13">
        <v>43388</v>
      </c>
      <c r="D16">
        <v>8020</v>
      </c>
      <c r="E16">
        <v>103</v>
      </c>
      <c r="G16">
        <v>120</v>
      </c>
      <c r="H16">
        <v>1440</v>
      </c>
      <c r="I16" s="15" t="str">
        <f>VLOOKUP(TableTemp[[#This Row],[Company]],MCompany[],2,FALSE)</f>
        <v>Urban Right</v>
      </c>
      <c r="J16" s="15" t="str">
        <f>VLOOKUP(TableTemp[[#This Row],[Customer code]],MCustomer[],2,FALSE)</f>
        <v>Erma</v>
      </c>
      <c r="K16" s="15" t="str">
        <f>VLOOKUP(TableTemp[[#This Row],[Article code]], MArticle[], 2,FALSE)</f>
        <v>Women type T simple white</v>
      </c>
      <c r="L16" s="15" t="str">
        <f>VLOOKUP(TableTemp[[#This Row],[Company]],MCompany[],3,FALSE)</f>
        <v>USD</v>
      </c>
      <c r="M16" s="15">
        <f>IF(TableTemp[[#This Row],[Currency]]="EUR",ROUND(VLOOKUP(MONTH(TableTemp[[#This Row],[Document Date]]),MExchange[],2,FALSE)*TableTemp[[#This Row],[Sales Local Currency]],2),ROUND(TableTemp[[#This Row],[Sales Local Currency]],2))</f>
        <v>1440</v>
      </c>
      <c r="R16" s="18"/>
      <c r="AC16" s="25"/>
    </row>
    <row r="17" spans="1:29" x14ac:dyDescent="0.2">
      <c r="A17" s="8" t="s">
        <v>28</v>
      </c>
      <c r="B17">
        <v>65662</v>
      </c>
      <c r="C17" s="13">
        <v>43388</v>
      </c>
      <c r="D17">
        <v>8020</v>
      </c>
      <c r="E17">
        <v>104</v>
      </c>
      <c r="G17">
        <v>110</v>
      </c>
      <c r="H17">
        <v>1320</v>
      </c>
      <c r="I17" s="15" t="str">
        <f>VLOOKUP(TableTemp[[#This Row],[Company]],MCompany[],2,FALSE)</f>
        <v>Urban Right</v>
      </c>
      <c r="J17" s="15" t="str">
        <f>VLOOKUP(TableTemp[[#This Row],[Customer code]],MCustomer[],2,FALSE)</f>
        <v>Erma</v>
      </c>
      <c r="K17" s="15" t="str">
        <f>VLOOKUP(TableTemp[[#This Row],[Article code]], MArticle[], 2,FALSE)</f>
        <v>Women type T simple black</v>
      </c>
      <c r="L17" s="15" t="str">
        <f>VLOOKUP(TableTemp[[#This Row],[Company]],MCompany[],3,FALSE)</f>
        <v>USD</v>
      </c>
      <c r="M17" s="15">
        <f>IF(TableTemp[[#This Row],[Currency]]="EUR",ROUND(VLOOKUP(MONTH(TableTemp[[#This Row],[Document Date]]),MExchange[],2,FALSE)*TableTemp[[#This Row],[Sales Local Currency]],2),ROUND(TableTemp[[#This Row],[Sales Local Currency]],2))</f>
        <v>1320</v>
      </c>
      <c r="R17" s="18"/>
      <c r="AC17" s="25"/>
    </row>
    <row r="18" spans="1:29" x14ac:dyDescent="0.2">
      <c r="A18" s="8" t="s">
        <v>28</v>
      </c>
      <c r="B18">
        <v>65666</v>
      </c>
      <c r="C18" s="13">
        <v>43388</v>
      </c>
      <c r="D18">
        <v>8010</v>
      </c>
      <c r="E18">
        <v>103</v>
      </c>
      <c r="G18">
        <v>120</v>
      </c>
      <c r="H18">
        <v>1440</v>
      </c>
      <c r="I18" s="15" t="str">
        <f>VLOOKUP(TableTemp[[#This Row],[Company]],MCompany[],2,FALSE)</f>
        <v>Urban Right</v>
      </c>
      <c r="J18" s="15" t="str">
        <f>VLOOKUP(TableTemp[[#This Row],[Customer code]],MCustomer[],2,FALSE)</f>
        <v>Dellicia</v>
      </c>
      <c r="K18" s="15" t="str">
        <f>VLOOKUP(TableTemp[[#This Row],[Article code]], MArticle[], 2,FALSE)</f>
        <v>Women type T simple white</v>
      </c>
      <c r="L18" s="15" t="str">
        <f>VLOOKUP(TableTemp[[#This Row],[Company]],MCompany[],3,FALSE)</f>
        <v>USD</v>
      </c>
      <c r="M18" s="15">
        <f>IF(TableTemp[[#This Row],[Currency]]="EUR",ROUND(VLOOKUP(MONTH(TableTemp[[#This Row],[Document Date]]),MExchange[],2,FALSE)*TableTemp[[#This Row],[Sales Local Currency]],2),ROUND(TableTemp[[#This Row],[Sales Local Currency]],2))</f>
        <v>1440</v>
      </c>
      <c r="R18" s="18"/>
      <c r="AC18" s="25"/>
    </row>
    <row r="19" spans="1:29" x14ac:dyDescent="0.2">
      <c r="A19" s="8" t="s">
        <v>28</v>
      </c>
      <c r="B19">
        <v>65666</v>
      </c>
      <c r="C19" s="13">
        <v>43388</v>
      </c>
      <c r="D19">
        <v>8010</v>
      </c>
      <c r="E19">
        <v>104</v>
      </c>
      <c r="G19">
        <v>140</v>
      </c>
      <c r="H19">
        <v>1680</v>
      </c>
      <c r="I19" s="15" t="str">
        <f>VLOOKUP(TableTemp[[#This Row],[Company]],MCompany[],2,FALSE)</f>
        <v>Urban Right</v>
      </c>
      <c r="J19" s="15" t="str">
        <f>VLOOKUP(TableTemp[[#This Row],[Customer code]],MCustomer[],2,FALSE)</f>
        <v>Dellicia</v>
      </c>
      <c r="K19" s="15" t="str">
        <f>VLOOKUP(TableTemp[[#This Row],[Article code]], MArticle[], 2,FALSE)</f>
        <v>Women type T simple black</v>
      </c>
      <c r="L19" s="15" t="str">
        <f>VLOOKUP(TableTemp[[#This Row],[Company]],MCompany[],3,FALSE)</f>
        <v>USD</v>
      </c>
      <c r="M19" s="15">
        <f>IF(TableTemp[[#This Row],[Currency]]="EUR",ROUND(VLOOKUP(MONTH(TableTemp[[#This Row],[Document Date]]),MExchange[],2,FALSE)*TableTemp[[#This Row],[Sales Local Currency]],2),ROUND(TableTemp[[#This Row],[Sales Local Currency]],2))</f>
        <v>1680</v>
      </c>
      <c r="R19" s="18"/>
      <c r="AC19" s="25"/>
    </row>
    <row r="20" spans="1:29" x14ac:dyDescent="0.2">
      <c r="A20" s="8" t="s">
        <v>28</v>
      </c>
      <c r="B20">
        <v>65666</v>
      </c>
      <c r="C20" s="13">
        <v>43388</v>
      </c>
      <c r="D20">
        <v>8010</v>
      </c>
      <c r="E20">
        <v>105</v>
      </c>
      <c r="G20">
        <v>160</v>
      </c>
      <c r="H20">
        <v>1600</v>
      </c>
      <c r="I20" s="15" t="str">
        <f>VLOOKUP(TableTemp[[#This Row],[Company]],MCompany[],2,FALSE)</f>
        <v>Urban Right</v>
      </c>
      <c r="J20" s="15" t="str">
        <f>VLOOKUP(TableTemp[[#This Row],[Customer code]],MCustomer[],2,FALSE)</f>
        <v>Dellicia</v>
      </c>
      <c r="K20" s="15" t="str">
        <f>VLOOKUP(TableTemp[[#This Row],[Article code]], MArticle[], 2,FALSE)</f>
        <v>Women crop top black</v>
      </c>
      <c r="L20" s="15" t="str">
        <f>VLOOKUP(TableTemp[[#This Row],[Company]],MCompany[],3,FALSE)</f>
        <v>USD</v>
      </c>
      <c r="M20" s="15">
        <f>IF(TableTemp[[#This Row],[Currency]]="EUR",ROUND(VLOOKUP(MONTH(TableTemp[[#This Row],[Document Date]]),MExchange[],2,FALSE)*TableTemp[[#This Row],[Sales Local Currency]],2),ROUND(TableTemp[[#This Row],[Sales Local Currency]],2))</f>
        <v>1600</v>
      </c>
      <c r="R20" s="18"/>
      <c r="AC20" s="25"/>
    </row>
    <row r="21" spans="1:29" x14ac:dyDescent="0.2">
      <c r="A21" s="8" t="s">
        <v>28</v>
      </c>
      <c r="B21">
        <v>65666</v>
      </c>
      <c r="C21" s="13">
        <v>43388</v>
      </c>
      <c r="D21">
        <v>8020</v>
      </c>
      <c r="E21">
        <v>107</v>
      </c>
      <c r="G21">
        <v>120</v>
      </c>
      <c r="H21">
        <v>600</v>
      </c>
      <c r="I21" s="15" t="str">
        <f>VLOOKUP(TableTemp[[#This Row],[Company]],MCompany[],2,FALSE)</f>
        <v>Urban Right</v>
      </c>
      <c r="J21" s="15" t="str">
        <f>VLOOKUP(TableTemp[[#This Row],[Customer code]],MCustomer[],2,FALSE)</f>
        <v>Erma</v>
      </c>
      <c r="K21" s="15" t="str">
        <f>VLOOKUP(TableTemp[[#This Row],[Article code]], MArticle[], 2,FALSE)</f>
        <v>Women basics</v>
      </c>
      <c r="L21" s="15" t="str">
        <f>VLOOKUP(TableTemp[[#This Row],[Company]],MCompany[],3,FALSE)</f>
        <v>USD</v>
      </c>
      <c r="M21" s="15">
        <f>IF(TableTemp[[#This Row],[Currency]]="EUR",ROUND(VLOOKUP(MONTH(TableTemp[[#This Row],[Document Date]]),MExchange[],2,FALSE)*TableTemp[[#This Row],[Sales Local Currency]],2),ROUND(TableTemp[[#This Row],[Sales Local Currency]],2))</f>
        <v>600</v>
      </c>
      <c r="R21" s="18"/>
      <c r="AC21" s="25"/>
    </row>
    <row r="22" spans="1:29" x14ac:dyDescent="0.2">
      <c r="A22" s="8" t="s">
        <v>28</v>
      </c>
      <c r="B22">
        <v>65666</v>
      </c>
      <c r="C22" s="13">
        <v>43388</v>
      </c>
      <c r="D22">
        <v>8020</v>
      </c>
      <c r="E22">
        <v>103</v>
      </c>
      <c r="G22">
        <v>200</v>
      </c>
      <c r="H22">
        <v>2400</v>
      </c>
      <c r="I22" s="15" t="str">
        <f>VLOOKUP(TableTemp[[#This Row],[Company]],MCompany[],2,FALSE)</f>
        <v>Urban Right</v>
      </c>
      <c r="J22" s="15" t="str">
        <f>VLOOKUP(TableTemp[[#This Row],[Customer code]],MCustomer[],2,FALSE)</f>
        <v>Erma</v>
      </c>
      <c r="K22" s="15" t="str">
        <f>VLOOKUP(TableTemp[[#This Row],[Article code]], MArticle[], 2,FALSE)</f>
        <v>Women type T simple white</v>
      </c>
      <c r="L22" s="15" t="str">
        <f>VLOOKUP(TableTemp[[#This Row],[Company]],MCompany[],3,FALSE)</f>
        <v>USD</v>
      </c>
      <c r="M22" s="15">
        <f>IF(TableTemp[[#This Row],[Currency]]="EUR",ROUND(VLOOKUP(MONTH(TableTemp[[#This Row],[Document Date]]),MExchange[],2,FALSE)*TableTemp[[#This Row],[Sales Local Currency]],2),ROUND(TableTemp[[#This Row],[Sales Local Currency]],2))</f>
        <v>2400</v>
      </c>
      <c r="R22" s="18"/>
      <c r="AC22" s="25"/>
    </row>
    <row r="23" spans="1:29" x14ac:dyDescent="0.2">
      <c r="A23" s="8" t="s">
        <v>28</v>
      </c>
      <c r="B23">
        <v>66015</v>
      </c>
      <c r="C23" s="13">
        <v>43383</v>
      </c>
      <c r="D23">
        <v>8010</v>
      </c>
      <c r="E23">
        <v>103</v>
      </c>
      <c r="G23">
        <v>140</v>
      </c>
      <c r="H23">
        <v>1680</v>
      </c>
      <c r="I23" s="15" t="str">
        <f>VLOOKUP(TableTemp[[#This Row],[Company]],MCompany[],2,FALSE)</f>
        <v>Urban Right</v>
      </c>
      <c r="J23" s="15" t="str">
        <f>VLOOKUP(TableTemp[[#This Row],[Customer code]],MCustomer[],2,FALSE)</f>
        <v>Dellicia</v>
      </c>
      <c r="K23" s="15" t="str">
        <f>VLOOKUP(TableTemp[[#This Row],[Article code]], MArticle[], 2,FALSE)</f>
        <v>Women type T simple white</v>
      </c>
      <c r="L23" s="15" t="str">
        <f>VLOOKUP(TableTemp[[#This Row],[Company]],MCompany[],3,FALSE)</f>
        <v>USD</v>
      </c>
      <c r="M23" s="15">
        <f>IF(TableTemp[[#This Row],[Currency]]="EUR",ROUND(VLOOKUP(MONTH(TableTemp[[#This Row],[Document Date]]),MExchange[],2,FALSE)*TableTemp[[#This Row],[Sales Local Currency]],2),ROUND(TableTemp[[#This Row],[Sales Local Currency]],2))</f>
        <v>1680</v>
      </c>
      <c r="R23" s="18"/>
      <c r="AC23" s="25"/>
    </row>
    <row r="24" spans="1:29" x14ac:dyDescent="0.2">
      <c r="A24" s="8" t="s">
        <v>28</v>
      </c>
      <c r="B24">
        <v>66015</v>
      </c>
      <c r="C24" s="13">
        <v>43383</v>
      </c>
      <c r="D24">
        <v>8010</v>
      </c>
      <c r="E24">
        <v>104</v>
      </c>
      <c r="G24">
        <v>140</v>
      </c>
      <c r="H24">
        <v>1680</v>
      </c>
      <c r="I24" s="15" t="str">
        <f>VLOOKUP(TableTemp[[#This Row],[Company]],MCompany[],2,FALSE)</f>
        <v>Urban Right</v>
      </c>
      <c r="J24" s="15" t="str">
        <f>VLOOKUP(TableTemp[[#This Row],[Customer code]],MCustomer[],2,FALSE)</f>
        <v>Dellicia</v>
      </c>
      <c r="K24" s="15" t="str">
        <f>VLOOKUP(TableTemp[[#This Row],[Article code]], MArticle[], 2,FALSE)</f>
        <v>Women type T simple black</v>
      </c>
      <c r="L24" s="15" t="str">
        <f>VLOOKUP(TableTemp[[#This Row],[Company]],MCompany[],3,FALSE)</f>
        <v>USD</v>
      </c>
      <c r="M24" s="15">
        <f>IF(TableTemp[[#This Row],[Currency]]="EUR",ROUND(VLOOKUP(MONTH(TableTemp[[#This Row],[Document Date]]),MExchange[],2,FALSE)*TableTemp[[#This Row],[Sales Local Currency]],2),ROUND(TableTemp[[#This Row],[Sales Local Currency]],2))</f>
        <v>1680</v>
      </c>
      <c r="R24" s="18"/>
      <c r="AC24" s="25"/>
    </row>
    <row r="25" spans="1:29" x14ac:dyDescent="0.2">
      <c r="A25" s="8" t="s">
        <v>28</v>
      </c>
      <c r="B25">
        <v>66017</v>
      </c>
      <c r="C25" s="13">
        <v>43386</v>
      </c>
      <c r="D25">
        <v>8010</v>
      </c>
      <c r="E25">
        <v>103</v>
      </c>
      <c r="G25">
        <v>140</v>
      </c>
      <c r="H25">
        <v>1680</v>
      </c>
      <c r="I25" s="15" t="str">
        <f>VLOOKUP(TableTemp[[#This Row],[Company]],MCompany[],2,FALSE)</f>
        <v>Urban Right</v>
      </c>
      <c r="J25" s="15" t="str">
        <f>VLOOKUP(TableTemp[[#This Row],[Customer code]],MCustomer[],2,FALSE)</f>
        <v>Dellicia</v>
      </c>
      <c r="K25" s="15" t="str">
        <f>VLOOKUP(TableTemp[[#This Row],[Article code]], MArticle[], 2,FALSE)</f>
        <v>Women type T simple white</v>
      </c>
      <c r="L25" s="15" t="str">
        <f>VLOOKUP(TableTemp[[#This Row],[Company]],MCompany[],3,FALSE)</f>
        <v>USD</v>
      </c>
      <c r="M25" s="15">
        <f>IF(TableTemp[[#This Row],[Currency]]="EUR",ROUND(VLOOKUP(MONTH(TableTemp[[#This Row],[Document Date]]),MExchange[],2,FALSE)*TableTemp[[#This Row],[Sales Local Currency]],2),ROUND(TableTemp[[#This Row],[Sales Local Currency]],2))</f>
        <v>1680</v>
      </c>
      <c r="R25" s="18"/>
      <c r="AC25" s="25"/>
    </row>
    <row r="26" spans="1:29" x14ac:dyDescent="0.2">
      <c r="A26" s="8" t="s">
        <v>28</v>
      </c>
      <c r="B26">
        <v>66017</v>
      </c>
      <c r="C26" s="13">
        <v>43386</v>
      </c>
      <c r="D26">
        <v>8010</v>
      </c>
      <c r="E26">
        <v>104</v>
      </c>
      <c r="G26">
        <v>140</v>
      </c>
      <c r="H26">
        <v>1680</v>
      </c>
      <c r="I26" s="15" t="str">
        <f>VLOOKUP(TableTemp[[#This Row],[Company]],MCompany[],2,FALSE)</f>
        <v>Urban Right</v>
      </c>
      <c r="J26" s="15" t="str">
        <f>VLOOKUP(TableTemp[[#This Row],[Customer code]],MCustomer[],2,FALSE)</f>
        <v>Dellicia</v>
      </c>
      <c r="K26" s="15" t="str">
        <f>VLOOKUP(TableTemp[[#This Row],[Article code]], MArticle[], 2,FALSE)</f>
        <v>Women type T simple black</v>
      </c>
      <c r="L26" s="15" t="str">
        <f>VLOOKUP(TableTemp[[#This Row],[Company]],MCompany[],3,FALSE)</f>
        <v>USD</v>
      </c>
      <c r="M26" s="15">
        <f>IF(TableTemp[[#This Row],[Currency]]="EUR",ROUND(VLOOKUP(MONTH(TableTemp[[#This Row],[Document Date]]),MExchange[],2,FALSE)*TableTemp[[#This Row],[Sales Local Currency]],2),ROUND(TableTemp[[#This Row],[Sales Local Currency]],2))</f>
        <v>1680</v>
      </c>
      <c r="R26" s="18"/>
      <c r="AC26" s="25"/>
    </row>
    <row r="27" spans="1:29" x14ac:dyDescent="0.2">
      <c r="A27" s="8" t="s">
        <v>28</v>
      </c>
      <c r="B27">
        <v>66016</v>
      </c>
      <c r="C27" s="13">
        <v>43387</v>
      </c>
      <c r="D27">
        <v>8020</v>
      </c>
      <c r="E27">
        <v>103</v>
      </c>
      <c r="G27">
        <v>120</v>
      </c>
      <c r="H27">
        <v>1440</v>
      </c>
      <c r="I27" s="15" t="str">
        <f>VLOOKUP(TableTemp[[#This Row],[Company]],MCompany[],2,FALSE)</f>
        <v>Urban Right</v>
      </c>
      <c r="J27" s="15" t="str">
        <f>VLOOKUP(TableTemp[[#This Row],[Customer code]],MCustomer[],2,FALSE)</f>
        <v>Erma</v>
      </c>
      <c r="K27" s="15" t="str">
        <f>VLOOKUP(TableTemp[[#This Row],[Article code]], MArticle[], 2,FALSE)</f>
        <v>Women type T simple white</v>
      </c>
      <c r="L27" s="15" t="str">
        <f>VLOOKUP(TableTemp[[#This Row],[Company]],MCompany[],3,FALSE)</f>
        <v>USD</v>
      </c>
      <c r="M27" s="15">
        <f>IF(TableTemp[[#This Row],[Currency]]="EUR",ROUND(VLOOKUP(MONTH(TableTemp[[#This Row],[Document Date]]),MExchange[],2,FALSE)*TableTemp[[#This Row],[Sales Local Currency]],2),ROUND(TableTemp[[#This Row],[Sales Local Currency]],2))</f>
        <v>1440</v>
      </c>
      <c r="R27" s="18"/>
      <c r="AC27" s="25"/>
    </row>
    <row r="28" spans="1:29" x14ac:dyDescent="0.2">
      <c r="A28" s="8" t="s">
        <v>28</v>
      </c>
      <c r="B28">
        <v>66016</v>
      </c>
      <c r="C28" s="13">
        <v>43387</v>
      </c>
      <c r="D28">
        <v>8020</v>
      </c>
      <c r="E28">
        <v>104</v>
      </c>
      <c r="G28">
        <v>130</v>
      </c>
      <c r="H28">
        <v>1560</v>
      </c>
      <c r="I28" s="15" t="str">
        <f>VLOOKUP(TableTemp[[#This Row],[Company]],MCompany[],2,FALSE)</f>
        <v>Urban Right</v>
      </c>
      <c r="J28" s="15" t="str">
        <f>VLOOKUP(TableTemp[[#This Row],[Customer code]],MCustomer[],2,FALSE)</f>
        <v>Erma</v>
      </c>
      <c r="K28" s="15" t="str">
        <f>VLOOKUP(TableTemp[[#This Row],[Article code]], MArticle[], 2,FALSE)</f>
        <v>Women type T simple black</v>
      </c>
      <c r="L28" s="15" t="str">
        <f>VLOOKUP(TableTemp[[#This Row],[Company]],MCompany[],3,FALSE)</f>
        <v>USD</v>
      </c>
      <c r="M28" s="15">
        <f>IF(TableTemp[[#This Row],[Currency]]="EUR",ROUND(VLOOKUP(MONTH(TableTemp[[#This Row],[Document Date]]),MExchange[],2,FALSE)*TableTemp[[#This Row],[Sales Local Currency]],2),ROUND(TableTemp[[#This Row],[Sales Local Currency]],2))</f>
        <v>1560</v>
      </c>
      <c r="R28" s="18"/>
      <c r="AC28" s="25"/>
    </row>
    <row r="29" spans="1:29" x14ac:dyDescent="0.2">
      <c r="A29" s="8" t="s">
        <v>28</v>
      </c>
      <c r="B29">
        <v>66016</v>
      </c>
      <c r="C29" s="13">
        <v>43387</v>
      </c>
      <c r="D29">
        <v>8020</v>
      </c>
      <c r="E29">
        <v>105</v>
      </c>
      <c r="G29">
        <v>120</v>
      </c>
      <c r="H29">
        <v>1200</v>
      </c>
      <c r="I29" s="15" t="str">
        <f>VLOOKUP(TableTemp[[#This Row],[Company]],MCompany[],2,FALSE)</f>
        <v>Urban Right</v>
      </c>
      <c r="J29" s="15" t="str">
        <f>VLOOKUP(TableTemp[[#This Row],[Customer code]],MCustomer[],2,FALSE)</f>
        <v>Erma</v>
      </c>
      <c r="K29" s="15" t="str">
        <f>VLOOKUP(TableTemp[[#This Row],[Article code]], MArticle[], 2,FALSE)</f>
        <v>Women crop top black</v>
      </c>
      <c r="L29" s="15" t="str">
        <f>VLOOKUP(TableTemp[[#This Row],[Company]],MCompany[],3,FALSE)</f>
        <v>USD</v>
      </c>
      <c r="M29" s="15">
        <f>IF(TableTemp[[#This Row],[Currency]]="EUR",ROUND(VLOOKUP(MONTH(TableTemp[[#This Row],[Document Date]]),MExchange[],2,FALSE)*TableTemp[[#This Row],[Sales Local Currency]],2),ROUND(TableTemp[[#This Row],[Sales Local Currency]],2))</f>
        <v>1200</v>
      </c>
      <c r="R29" s="18"/>
      <c r="AC29" s="25"/>
    </row>
    <row r="30" spans="1:29" x14ac:dyDescent="0.2">
      <c r="A30" s="8" t="s">
        <v>28</v>
      </c>
      <c r="B30">
        <v>68097</v>
      </c>
      <c r="C30" s="13">
        <v>43390</v>
      </c>
      <c r="D30">
        <v>8010</v>
      </c>
      <c r="E30">
        <v>104</v>
      </c>
      <c r="G30">
        <v>140</v>
      </c>
      <c r="H30">
        <v>1680</v>
      </c>
      <c r="I30" s="15" t="str">
        <f>VLOOKUP(TableTemp[[#This Row],[Company]],MCompany[],2,FALSE)</f>
        <v>Urban Right</v>
      </c>
      <c r="J30" s="15" t="str">
        <f>VLOOKUP(TableTemp[[#This Row],[Customer code]],MCustomer[],2,FALSE)</f>
        <v>Dellicia</v>
      </c>
      <c r="K30" s="15" t="str">
        <f>VLOOKUP(TableTemp[[#This Row],[Article code]], MArticle[], 2,FALSE)</f>
        <v>Women type T simple black</v>
      </c>
      <c r="L30" s="15" t="str">
        <f>VLOOKUP(TableTemp[[#This Row],[Company]],MCompany[],3,FALSE)</f>
        <v>USD</v>
      </c>
      <c r="M30" s="15">
        <f>IF(TableTemp[[#This Row],[Currency]]="EUR",ROUND(VLOOKUP(MONTH(TableTemp[[#This Row],[Document Date]]),MExchange[],2,FALSE)*TableTemp[[#This Row],[Sales Local Currency]],2),ROUND(TableTemp[[#This Row],[Sales Local Currency]],2))</f>
        <v>1680</v>
      </c>
      <c r="R30" s="18"/>
      <c r="AC30" s="25"/>
    </row>
    <row r="31" spans="1:29" x14ac:dyDescent="0.2">
      <c r="A31" s="8" t="s">
        <v>28</v>
      </c>
      <c r="B31">
        <v>68097</v>
      </c>
      <c r="C31" s="13">
        <v>43390</v>
      </c>
      <c r="D31">
        <v>8010</v>
      </c>
      <c r="E31">
        <v>105</v>
      </c>
      <c r="G31">
        <v>130</v>
      </c>
      <c r="H31">
        <v>1300</v>
      </c>
      <c r="I31" s="15" t="str">
        <f>VLOOKUP(TableTemp[[#This Row],[Company]],MCompany[],2,FALSE)</f>
        <v>Urban Right</v>
      </c>
      <c r="J31" s="15" t="str">
        <f>VLOOKUP(TableTemp[[#This Row],[Customer code]],MCustomer[],2,FALSE)</f>
        <v>Dellicia</v>
      </c>
      <c r="K31" s="15" t="str">
        <f>VLOOKUP(TableTemp[[#This Row],[Article code]], MArticle[], 2,FALSE)</f>
        <v>Women crop top black</v>
      </c>
      <c r="L31" s="15" t="str">
        <f>VLOOKUP(TableTemp[[#This Row],[Company]],MCompany[],3,FALSE)</f>
        <v>USD</v>
      </c>
      <c r="M31" s="15">
        <f>IF(TableTemp[[#This Row],[Currency]]="EUR",ROUND(VLOOKUP(MONTH(TableTemp[[#This Row],[Document Date]]),MExchange[],2,FALSE)*TableTemp[[#This Row],[Sales Local Currency]],2),ROUND(TableTemp[[#This Row],[Sales Local Currency]],2))</f>
        <v>1300</v>
      </c>
      <c r="R31" s="18"/>
      <c r="AC31" s="25"/>
    </row>
    <row r="32" spans="1:29" x14ac:dyDescent="0.2">
      <c r="A32" s="8" t="s">
        <v>28</v>
      </c>
      <c r="B32">
        <v>68099</v>
      </c>
      <c r="C32" s="13">
        <v>43390</v>
      </c>
      <c r="D32">
        <v>8020</v>
      </c>
      <c r="E32">
        <v>104</v>
      </c>
      <c r="G32">
        <v>120</v>
      </c>
      <c r="H32">
        <v>1440</v>
      </c>
      <c r="I32" s="15" t="str">
        <f>VLOOKUP(TableTemp[[#This Row],[Company]],MCompany[],2,FALSE)</f>
        <v>Urban Right</v>
      </c>
      <c r="J32" s="15" t="str">
        <f>VLOOKUP(TableTemp[[#This Row],[Customer code]],MCustomer[],2,FALSE)</f>
        <v>Erma</v>
      </c>
      <c r="K32" s="15" t="str">
        <f>VLOOKUP(TableTemp[[#This Row],[Article code]], MArticle[], 2,FALSE)</f>
        <v>Women type T simple black</v>
      </c>
      <c r="L32" s="15" t="str">
        <f>VLOOKUP(TableTemp[[#This Row],[Company]],MCompany[],3,FALSE)</f>
        <v>USD</v>
      </c>
      <c r="M32" s="15">
        <f>IF(TableTemp[[#This Row],[Currency]]="EUR",ROUND(VLOOKUP(MONTH(TableTemp[[#This Row],[Document Date]]),MExchange[],2,FALSE)*TableTemp[[#This Row],[Sales Local Currency]],2),ROUND(TableTemp[[#This Row],[Sales Local Currency]],2))</f>
        <v>1440</v>
      </c>
      <c r="R32" s="18"/>
      <c r="AC32" s="25"/>
    </row>
    <row r="33" spans="1:29" x14ac:dyDescent="0.2">
      <c r="A33" s="8" t="s">
        <v>28</v>
      </c>
      <c r="B33">
        <v>68099</v>
      </c>
      <c r="C33" s="13">
        <v>43390</v>
      </c>
      <c r="D33">
        <v>8020</v>
      </c>
      <c r="E33">
        <v>105</v>
      </c>
      <c r="F33">
        <v>2</v>
      </c>
      <c r="G33">
        <v>140</v>
      </c>
      <c r="H33">
        <v>1400</v>
      </c>
      <c r="I33" s="15" t="str">
        <f>VLOOKUP(TableTemp[[#This Row],[Company]],MCompany[],2,FALSE)</f>
        <v>Urban Right</v>
      </c>
      <c r="J33" s="15" t="str">
        <f>VLOOKUP(TableTemp[[#This Row],[Customer code]],MCustomer[],2,FALSE)</f>
        <v>Erma</v>
      </c>
      <c r="K33" s="15" t="str">
        <f>VLOOKUP(TableTemp[[#This Row],[Article code]], MArticle[], 2,FALSE)</f>
        <v>Women crop top black</v>
      </c>
      <c r="L33" s="15" t="str">
        <f>VLOOKUP(TableTemp[[#This Row],[Company]],MCompany[],3,FALSE)</f>
        <v>USD</v>
      </c>
      <c r="M33" s="15">
        <f>IF(TableTemp[[#This Row],[Currency]]="EUR",ROUND(VLOOKUP(MONTH(TableTemp[[#This Row],[Document Date]]),MExchange[],2,FALSE)*TableTemp[[#This Row],[Sales Local Currency]],2),ROUND(TableTemp[[#This Row],[Sales Local Currency]],2))</f>
        <v>1400</v>
      </c>
      <c r="R33" s="18"/>
      <c r="AC33" s="25"/>
    </row>
    <row r="34" spans="1:29" x14ac:dyDescent="0.2">
      <c r="A34" s="8" t="s">
        <v>28</v>
      </c>
      <c r="B34">
        <v>68099</v>
      </c>
      <c r="C34" s="13">
        <v>43390</v>
      </c>
      <c r="D34">
        <v>8020</v>
      </c>
      <c r="E34">
        <v>107</v>
      </c>
      <c r="G34">
        <v>170</v>
      </c>
      <c r="H34">
        <v>850</v>
      </c>
      <c r="I34" s="15" t="str">
        <f>VLOOKUP(TableTemp[[#This Row],[Company]],MCompany[],2,FALSE)</f>
        <v>Urban Right</v>
      </c>
      <c r="J34" s="15" t="str">
        <f>VLOOKUP(TableTemp[[#This Row],[Customer code]],MCustomer[],2,FALSE)</f>
        <v>Erma</v>
      </c>
      <c r="K34" s="15" t="str">
        <f>VLOOKUP(TableTemp[[#This Row],[Article code]], MArticle[], 2,FALSE)</f>
        <v>Women basics</v>
      </c>
      <c r="L34" s="15" t="str">
        <f>VLOOKUP(TableTemp[[#This Row],[Company]],MCompany[],3,FALSE)</f>
        <v>USD</v>
      </c>
      <c r="M34" s="15">
        <f>IF(TableTemp[[#This Row],[Currency]]="EUR",ROUND(VLOOKUP(MONTH(TableTemp[[#This Row],[Document Date]]),MExchange[],2,FALSE)*TableTemp[[#This Row],[Sales Local Currency]],2),ROUND(TableTemp[[#This Row],[Sales Local Currency]],2))</f>
        <v>850</v>
      </c>
      <c r="R34" s="18"/>
      <c r="AC34" s="25"/>
    </row>
    <row r="35" spans="1:29" x14ac:dyDescent="0.2">
      <c r="A35" s="8" t="s">
        <v>28</v>
      </c>
      <c r="B35">
        <v>68101</v>
      </c>
      <c r="C35" s="13">
        <v>43390</v>
      </c>
      <c r="D35">
        <v>8010</v>
      </c>
      <c r="E35">
        <v>104</v>
      </c>
      <c r="G35">
        <v>190</v>
      </c>
      <c r="H35">
        <v>2280</v>
      </c>
      <c r="I35" s="15" t="str">
        <f>VLOOKUP(TableTemp[[#This Row],[Company]],MCompany[],2,FALSE)</f>
        <v>Urban Right</v>
      </c>
      <c r="J35" s="15" t="str">
        <f>VLOOKUP(TableTemp[[#This Row],[Customer code]],MCustomer[],2,FALSE)</f>
        <v>Dellicia</v>
      </c>
      <c r="K35" s="15" t="str">
        <f>VLOOKUP(TableTemp[[#This Row],[Article code]], MArticle[], 2,FALSE)</f>
        <v>Women type T simple black</v>
      </c>
      <c r="L35" s="15" t="str">
        <f>VLOOKUP(TableTemp[[#This Row],[Company]],MCompany[],3,FALSE)</f>
        <v>USD</v>
      </c>
      <c r="M35" s="15">
        <f>IF(TableTemp[[#This Row],[Currency]]="EUR",ROUND(VLOOKUP(MONTH(TableTemp[[#This Row],[Document Date]]),MExchange[],2,FALSE)*TableTemp[[#This Row],[Sales Local Currency]],2),ROUND(TableTemp[[#This Row],[Sales Local Currency]],2))</f>
        <v>2280</v>
      </c>
      <c r="R35" s="18"/>
      <c r="AC35" s="25"/>
    </row>
    <row r="36" spans="1:29" x14ac:dyDescent="0.2">
      <c r="A36" s="8" t="s">
        <v>28</v>
      </c>
      <c r="B36">
        <v>68101</v>
      </c>
      <c r="C36" s="13">
        <v>43390</v>
      </c>
      <c r="D36">
        <v>8010</v>
      </c>
      <c r="E36">
        <v>105</v>
      </c>
      <c r="G36">
        <v>140</v>
      </c>
      <c r="H36">
        <v>1400</v>
      </c>
      <c r="I36" s="15" t="str">
        <f>VLOOKUP(TableTemp[[#This Row],[Company]],MCompany[],2,FALSE)</f>
        <v>Urban Right</v>
      </c>
      <c r="J36" s="15" t="str">
        <f>VLOOKUP(TableTemp[[#This Row],[Customer code]],MCustomer[],2,FALSE)</f>
        <v>Dellicia</v>
      </c>
      <c r="K36" s="15" t="str">
        <f>VLOOKUP(TableTemp[[#This Row],[Article code]], MArticle[], 2,FALSE)</f>
        <v>Women crop top black</v>
      </c>
      <c r="L36" s="15" t="str">
        <f>VLOOKUP(TableTemp[[#This Row],[Company]],MCompany[],3,FALSE)</f>
        <v>USD</v>
      </c>
      <c r="M36" s="15">
        <f>IF(TableTemp[[#This Row],[Currency]]="EUR",ROUND(VLOOKUP(MONTH(TableTemp[[#This Row],[Document Date]]),MExchange[],2,FALSE)*TableTemp[[#This Row],[Sales Local Currency]],2),ROUND(TableTemp[[#This Row],[Sales Local Currency]],2))</f>
        <v>1400</v>
      </c>
      <c r="R36" s="18"/>
      <c r="AC36" s="25"/>
    </row>
    <row r="37" spans="1:29" x14ac:dyDescent="0.2">
      <c r="A37" s="8" t="s">
        <v>28</v>
      </c>
      <c r="B37">
        <v>65627</v>
      </c>
      <c r="C37" s="13">
        <v>43394</v>
      </c>
      <c r="D37">
        <v>8020</v>
      </c>
      <c r="E37">
        <v>103</v>
      </c>
      <c r="G37">
        <v>140</v>
      </c>
      <c r="H37">
        <v>1680</v>
      </c>
      <c r="I37" s="15" t="str">
        <f>VLOOKUP(TableTemp[[#This Row],[Company]],MCompany[],2,FALSE)</f>
        <v>Urban Right</v>
      </c>
      <c r="J37" s="15" t="str">
        <f>VLOOKUP(TableTemp[[#This Row],[Customer code]],MCustomer[],2,FALSE)</f>
        <v>Erma</v>
      </c>
      <c r="K37" s="15" t="str">
        <f>VLOOKUP(TableTemp[[#This Row],[Article code]], MArticle[], 2,FALSE)</f>
        <v>Women type T simple white</v>
      </c>
      <c r="L37" s="15" t="str">
        <f>VLOOKUP(TableTemp[[#This Row],[Company]],MCompany[],3,FALSE)</f>
        <v>USD</v>
      </c>
      <c r="M37" s="15">
        <f>IF(TableTemp[[#This Row],[Currency]]="EUR",ROUND(VLOOKUP(MONTH(TableTemp[[#This Row],[Document Date]]),MExchange[],2,FALSE)*TableTemp[[#This Row],[Sales Local Currency]],2),ROUND(TableTemp[[#This Row],[Sales Local Currency]],2))</f>
        <v>1680</v>
      </c>
      <c r="R37" s="18"/>
      <c r="AC37" s="25"/>
    </row>
    <row r="38" spans="1:29" x14ac:dyDescent="0.2">
      <c r="A38" s="8" t="s">
        <v>28</v>
      </c>
      <c r="B38">
        <v>65627</v>
      </c>
      <c r="C38" s="13">
        <v>43394</v>
      </c>
      <c r="D38">
        <v>8020</v>
      </c>
      <c r="E38">
        <v>104</v>
      </c>
      <c r="F38">
        <v>3</v>
      </c>
      <c r="G38">
        <v>160</v>
      </c>
      <c r="H38">
        <v>1920</v>
      </c>
      <c r="I38" s="15" t="str">
        <f>VLOOKUP(TableTemp[[#This Row],[Company]],MCompany[],2,FALSE)</f>
        <v>Urban Right</v>
      </c>
      <c r="J38" s="15" t="str">
        <f>VLOOKUP(TableTemp[[#This Row],[Customer code]],MCustomer[],2,FALSE)</f>
        <v>Erma</v>
      </c>
      <c r="K38" s="15" t="str">
        <f>VLOOKUP(TableTemp[[#This Row],[Article code]], MArticle[], 2,FALSE)</f>
        <v>Women type T simple black</v>
      </c>
      <c r="L38" s="15" t="str">
        <f>VLOOKUP(TableTemp[[#This Row],[Company]],MCompany[],3,FALSE)</f>
        <v>USD</v>
      </c>
      <c r="M38" s="15">
        <f>IF(TableTemp[[#This Row],[Currency]]="EUR",ROUND(VLOOKUP(MONTH(TableTemp[[#This Row],[Document Date]]),MExchange[],2,FALSE)*TableTemp[[#This Row],[Sales Local Currency]],2),ROUND(TableTemp[[#This Row],[Sales Local Currency]],2))</f>
        <v>1920</v>
      </c>
    </row>
    <row r="39" spans="1:29" x14ac:dyDescent="0.2">
      <c r="A39" s="8" t="s">
        <v>28</v>
      </c>
      <c r="B39">
        <v>65629</v>
      </c>
      <c r="C39" s="13">
        <v>43394</v>
      </c>
      <c r="D39">
        <v>8010</v>
      </c>
      <c r="E39">
        <v>103</v>
      </c>
      <c r="G39">
        <v>190</v>
      </c>
      <c r="H39">
        <v>2280</v>
      </c>
      <c r="I39" s="15" t="str">
        <f>VLOOKUP(TableTemp[[#This Row],[Company]],MCompany[],2,FALSE)</f>
        <v>Urban Right</v>
      </c>
      <c r="J39" s="15" t="str">
        <f>VLOOKUP(TableTemp[[#This Row],[Customer code]],MCustomer[],2,FALSE)</f>
        <v>Dellicia</v>
      </c>
      <c r="K39" s="15" t="str">
        <f>VLOOKUP(TableTemp[[#This Row],[Article code]], MArticle[], 2,FALSE)</f>
        <v>Women type T simple white</v>
      </c>
      <c r="L39" s="15" t="str">
        <f>VLOOKUP(TableTemp[[#This Row],[Company]],MCompany[],3,FALSE)</f>
        <v>USD</v>
      </c>
      <c r="M39" s="15">
        <f>IF(TableTemp[[#This Row],[Currency]]="EUR",ROUND(VLOOKUP(MONTH(TableTemp[[#This Row],[Document Date]]),MExchange[],2,FALSE)*TableTemp[[#This Row],[Sales Local Currency]],2),ROUND(TableTemp[[#This Row],[Sales Local Currency]],2))</f>
        <v>2280</v>
      </c>
    </row>
    <row r="40" spans="1:29" x14ac:dyDescent="0.2">
      <c r="A40" s="8" t="s">
        <v>28</v>
      </c>
      <c r="B40">
        <v>65629</v>
      </c>
      <c r="C40" s="13">
        <v>43394</v>
      </c>
      <c r="D40">
        <v>8010</v>
      </c>
      <c r="E40">
        <v>104</v>
      </c>
      <c r="G40">
        <v>130</v>
      </c>
      <c r="H40">
        <v>1560</v>
      </c>
      <c r="I40" s="15" t="str">
        <f>VLOOKUP(TableTemp[[#This Row],[Company]],MCompany[],2,FALSE)</f>
        <v>Urban Right</v>
      </c>
      <c r="J40" s="15" t="str">
        <f>VLOOKUP(TableTemp[[#This Row],[Customer code]],MCustomer[],2,FALSE)</f>
        <v>Dellicia</v>
      </c>
      <c r="K40" s="15" t="str">
        <f>VLOOKUP(TableTemp[[#This Row],[Article code]], MArticle[], 2,FALSE)</f>
        <v>Women type T simple black</v>
      </c>
      <c r="L40" s="15" t="str">
        <f>VLOOKUP(TableTemp[[#This Row],[Company]],MCompany[],3,FALSE)</f>
        <v>USD</v>
      </c>
      <c r="M40" s="15">
        <f>IF(TableTemp[[#This Row],[Currency]]="EUR",ROUND(VLOOKUP(MONTH(TableTemp[[#This Row],[Document Date]]),MExchange[],2,FALSE)*TableTemp[[#This Row],[Sales Local Currency]],2),ROUND(TableTemp[[#This Row],[Sales Local Currency]],2))</f>
        <v>1560</v>
      </c>
    </row>
    <row r="41" spans="1:29" x14ac:dyDescent="0.2">
      <c r="A41" s="8" t="s">
        <v>28</v>
      </c>
      <c r="B41">
        <v>65629</v>
      </c>
      <c r="C41" s="13">
        <v>43394</v>
      </c>
      <c r="D41">
        <v>8010</v>
      </c>
      <c r="E41">
        <v>105</v>
      </c>
      <c r="G41">
        <v>140</v>
      </c>
      <c r="H41">
        <v>1400</v>
      </c>
      <c r="I41" s="15" t="str">
        <f>VLOOKUP(TableTemp[[#This Row],[Company]],MCompany[],2,FALSE)</f>
        <v>Urban Right</v>
      </c>
      <c r="J41" s="15" t="str">
        <f>VLOOKUP(TableTemp[[#This Row],[Customer code]],MCustomer[],2,FALSE)</f>
        <v>Dellicia</v>
      </c>
      <c r="K41" s="15" t="str">
        <f>VLOOKUP(TableTemp[[#This Row],[Article code]], MArticle[], 2,FALSE)</f>
        <v>Women crop top black</v>
      </c>
      <c r="L41" s="15" t="str">
        <f>VLOOKUP(TableTemp[[#This Row],[Company]],MCompany[],3,FALSE)</f>
        <v>USD</v>
      </c>
      <c r="M41" s="15">
        <f>IF(TableTemp[[#This Row],[Currency]]="EUR",ROUND(VLOOKUP(MONTH(TableTemp[[#This Row],[Document Date]]),MExchange[],2,FALSE)*TableTemp[[#This Row],[Sales Local Currency]],2),ROUND(TableTemp[[#This Row],[Sales Local Currency]],2))</f>
        <v>1400</v>
      </c>
    </row>
    <row r="42" spans="1:29" x14ac:dyDescent="0.2">
      <c r="A42" s="8" t="s">
        <v>28</v>
      </c>
      <c r="B42">
        <v>65631</v>
      </c>
      <c r="C42" s="13">
        <v>43394</v>
      </c>
      <c r="D42">
        <v>8020</v>
      </c>
      <c r="E42">
        <v>107</v>
      </c>
      <c r="G42">
        <v>190</v>
      </c>
      <c r="H42">
        <v>950</v>
      </c>
      <c r="I42" s="15" t="str">
        <f>VLOOKUP(TableTemp[[#This Row],[Company]],MCompany[],2,FALSE)</f>
        <v>Urban Right</v>
      </c>
      <c r="J42" s="15" t="str">
        <f>VLOOKUP(TableTemp[[#This Row],[Customer code]],MCustomer[],2,FALSE)</f>
        <v>Erma</v>
      </c>
      <c r="K42" s="15" t="str">
        <f>VLOOKUP(TableTemp[[#This Row],[Article code]], MArticle[], 2,FALSE)</f>
        <v>Women basics</v>
      </c>
      <c r="L42" s="15" t="str">
        <f>VLOOKUP(TableTemp[[#This Row],[Company]],MCompany[],3,FALSE)</f>
        <v>USD</v>
      </c>
      <c r="M42" s="15">
        <f>IF(TableTemp[[#This Row],[Currency]]="EUR",ROUND(VLOOKUP(MONTH(TableTemp[[#This Row],[Document Date]]),MExchange[],2,FALSE)*TableTemp[[#This Row],[Sales Local Currency]],2),ROUND(TableTemp[[#This Row],[Sales Local Currency]],2))</f>
        <v>950</v>
      </c>
    </row>
    <row r="43" spans="1:29" x14ac:dyDescent="0.2">
      <c r="A43" s="8" t="s">
        <v>28</v>
      </c>
      <c r="B43">
        <v>65631</v>
      </c>
      <c r="C43" s="13">
        <v>43394</v>
      </c>
      <c r="D43">
        <v>8020</v>
      </c>
      <c r="E43">
        <v>103</v>
      </c>
      <c r="G43">
        <v>120</v>
      </c>
      <c r="H43">
        <v>1440</v>
      </c>
      <c r="I43" s="15" t="str">
        <f>VLOOKUP(TableTemp[[#This Row],[Company]],MCompany[],2,FALSE)</f>
        <v>Urban Right</v>
      </c>
      <c r="J43" s="15" t="str">
        <f>VLOOKUP(TableTemp[[#This Row],[Customer code]],MCustomer[],2,FALSE)</f>
        <v>Erma</v>
      </c>
      <c r="K43" s="15" t="str">
        <f>VLOOKUP(TableTemp[[#This Row],[Article code]], MArticle[], 2,FALSE)</f>
        <v>Women type T simple white</v>
      </c>
      <c r="L43" s="15" t="str">
        <f>VLOOKUP(TableTemp[[#This Row],[Company]],MCompany[],3,FALSE)</f>
        <v>USD</v>
      </c>
      <c r="M43" s="15">
        <f>IF(TableTemp[[#This Row],[Currency]]="EUR",ROUND(VLOOKUP(MONTH(TableTemp[[#This Row],[Document Date]]),MExchange[],2,FALSE)*TableTemp[[#This Row],[Sales Local Currency]],2),ROUND(TableTemp[[#This Row],[Sales Local Currency]],2))</f>
        <v>1440</v>
      </c>
    </row>
  </sheetData>
  <phoneticPr fontId="7" type="noConversion"/>
  <pageMargins left="0.7" right="0.7" top="0.75" bottom="0.75" header="0.3" footer="0.3"/>
  <drawing r:id="rId5"/>
  <tableParts count="1">
    <tablePart r:id="rId6"/>
  </tableParts>
  <extLst>
    <ext xmlns:x14="http://schemas.microsoft.com/office/spreadsheetml/2009/9/main" uri="{A8765BA9-456A-4dab-B4F3-ACF838C121DE}">
      <x14:slicerList>
        <x14:slicer r:id="rId7"/>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Map"/>
  <dimension ref="A1:J68"/>
  <sheetViews>
    <sheetView showGridLines="0" topLeftCell="A9" workbookViewId="0">
      <selection activeCell="E8" sqref="E8"/>
    </sheetView>
  </sheetViews>
  <sheetFormatPr defaultRowHeight="12.75" x14ac:dyDescent="0.2"/>
  <cols>
    <col min="1" max="1" width="8.7109375" customWidth="1"/>
    <col min="2" max="2" width="21.7109375" customWidth="1"/>
    <col min="3" max="3" width="19.28515625" customWidth="1"/>
    <col min="4" max="4" width="15.140625" customWidth="1"/>
    <col min="6" max="6" width="29.85546875" customWidth="1"/>
    <col min="7" max="7" width="13.7109375" customWidth="1"/>
    <col min="14" max="14" width="22.5703125" customWidth="1"/>
  </cols>
  <sheetData>
    <row r="1" spans="1:10" x14ac:dyDescent="0.2">
      <c r="A1" s="2"/>
      <c r="B1" s="2"/>
      <c r="C1" s="2"/>
      <c r="D1" s="2"/>
      <c r="E1" s="2"/>
      <c r="F1" s="2"/>
      <c r="G1" s="2"/>
      <c r="H1" s="2"/>
      <c r="I1" s="2"/>
      <c r="J1" s="2"/>
    </row>
    <row r="2" spans="1:10" ht="15" x14ac:dyDescent="0.25">
      <c r="A2" s="3"/>
      <c r="B2" s="3" t="s">
        <v>24</v>
      </c>
      <c r="C2" s="3"/>
      <c r="D2" s="3"/>
      <c r="E2" s="3"/>
      <c r="F2" s="3"/>
      <c r="G2" s="3"/>
      <c r="H2" s="3"/>
      <c r="I2" s="3"/>
      <c r="J2" s="3"/>
    </row>
    <row r="3" spans="1:10" ht="15" x14ac:dyDescent="0.25">
      <c r="A3" s="3"/>
      <c r="B3" s="3" t="s">
        <v>25</v>
      </c>
      <c r="C3" s="3"/>
      <c r="D3" s="3"/>
      <c r="E3" s="3"/>
      <c r="F3" s="3"/>
      <c r="G3" s="3"/>
      <c r="H3" s="3"/>
      <c r="I3" s="3"/>
      <c r="J3" s="3"/>
    </row>
    <row r="4" spans="1:10" x14ac:dyDescent="0.2">
      <c r="A4" s="2"/>
      <c r="B4" s="2"/>
      <c r="C4" s="2"/>
      <c r="D4" s="2"/>
      <c r="E4" s="2"/>
      <c r="F4" s="2"/>
      <c r="G4" s="2"/>
      <c r="H4" s="2"/>
      <c r="I4" s="2"/>
      <c r="J4" s="2"/>
    </row>
    <row r="6" spans="1:10" x14ac:dyDescent="0.2">
      <c r="A6" s="4" t="s">
        <v>27</v>
      </c>
      <c r="B6" s="4"/>
      <c r="C6" s="4"/>
      <c r="D6" s="4"/>
      <c r="E6" s="4"/>
      <c r="F6" s="4"/>
      <c r="G6" s="4"/>
      <c r="H6" s="4"/>
      <c r="I6" s="4"/>
      <c r="J6" s="4"/>
    </row>
    <row r="7" spans="1:10" x14ac:dyDescent="0.2">
      <c r="A7" s="11"/>
      <c r="B7" s="11"/>
      <c r="C7" s="11"/>
      <c r="D7" s="11"/>
      <c r="E7" s="11"/>
      <c r="F7" s="11"/>
      <c r="G7" s="11"/>
      <c r="H7" s="11"/>
      <c r="I7" s="11"/>
      <c r="J7" s="11"/>
    </row>
    <row r="8" spans="1:10" ht="26.25" customHeight="1" x14ac:dyDescent="0.2">
      <c r="B8" s="5" t="s">
        <v>50</v>
      </c>
      <c r="C8" s="6" t="s">
        <v>35</v>
      </c>
      <c r="D8" s="6" t="s">
        <v>3</v>
      </c>
      <c r="E8" s="6" t="s">
        <v>53</v>
      </c>
      <c r="G8" s="6" t="s">
        <v>56</v>
      </c>
    </row>
    <row r="9" spans="1:10" x14ac:dyDescent="0.2">
      <c r="B9" t="s">
        <v>28</v>
      </c>
      <c r="C9" t="s">
        <v>32</v>
      </c>
      <c r="D9" t="s">
        <v>1</v>
      </c>
      <c r="E9" t="s">
        <v>54</v>
      </c>
      <c r="G9" t="s">
        <v>54</v>
      </c>
    </row>
    <row r="10" spans="1:10" x14ac:dyDescent="0.2">
      <c r="B10" t="s">
        <v>29</v>
      </c>
      <c r="C10" t="s">
        <v>46</v>
      </c>
      <c r="D10" t="s">
        <v>1</v>
      </c>
      <c r="E10" t="s">
        <v>54</v>
      </c>
      <c r="G10" t="s">
        <v>55</v>
      </c>
    </row>
    <row r="11" spans="1:10" x14ac:dyDescent="0.2">
      <c r="B11" s="12" t="s">
        <v>30</v>
      </c>
      <c r="C11" s="12" t="s">
        <v>34</v>
      </c>
      <c r="D11" s="12" t="s">
        <v>38</v>
      </c>
      <c r="E11" t="s">
        <v>55</v>
      </c>
    </row>
    <row r="12" spans="1:10" x14ac:dyDescent="0.2">
      <c r="B12" s="12" t="s">
        <v>31</v>
      </c>
      <c r="C12" s="12" t="s">
        <v>33</v>
      </c>
      <c r="D12" s="12" t="s">
        <v>38</v>
      </c>
      <c r="E12" t="s">
        <v>55</v>
      </c>
    </row>
    <row r="13" spans="1:10" x14ac:dyDescent="0.2">
      <c r="B13" s="12"/>
      <c r="C13" s="12"/>
      <c r="D13" s="12"/>
    </row>
    <row r="14" spans="1:10" x14ac:dyDescent="0.2">
      <c r="A14" s="4" t="s">
        <v>36</v>
      </c>
      <c r="B14" s="4"/>
      <c r="C14" s="4"/>
      <c r="D14" s="4"/>
      <c r="E14" s="4"/>
      <c r="F14" s="4"/>
      <c r="G14" s="4"/>
      <c r="H14" s="4"/>
      <c r="I14" s="4"/>
      <c r="J14" s="4"/>
    </row>
    <row r="15" spans="1:10" x14ac:dyDescent="0.2">
      <c r="A15" s="11"/>
      <c r="B15" s="11"/>
      <c r="C15" s="11"/>
      <c r="D15" s="11"/>
      <c r="E15" s="11"/>
      <c r="F15" s="11"/>
      <c r="G15" s="11"/>
      <c r="H15" s="11"/>
      <c r="I15" s="11"/>
      <c r="J15" s="11"/>
    </row>
    <row r="16" spans="1:10" ht="15" x14ac:dyDescent="0.2">
      <c r="B16" s="5" t="s">
        <v>49</v>
      </c>
      <c r="C16" s="6" t="s">
        <v>44</v>
      </c>
    </row>
    <row r="17" spans="1:10" x14ac:dyDescent="0.2">
      <c r="B17">
        <v>8010</v>
      </c>
      <c r="C17" t="s">
        <v>45</v>
      </c>
    </row>
    <row r="18" spans="1:10" x14ac:dyDescent="0.2">
      <c r="B18">
        <v>8020</v>
      </c>
      <c r="C18" t="s">
        <v>47</v>
      </c>
    </row>
    <row r="19" spans="1:10" x14ac:dyDescent="0.2">
      <c r="B19">
        <v>8030</v>
      </c>
      <c r="C19" t="s">
        <v>48</v>
      </c>
    </row>
    <row r="20" spans="1:10" x14ac:dyDescent="0.2">
      <c r="B20">
        <v>8040</v>
      </c>
      <c r="C20" t="s">
        <v>57</v>
      </c>
    </row>
    <row r="21" spans="1:10" x14ac:dyDescent="0.2">
      <c r="B21">
        <v>8050</v>
      </c>
      <c r="C21" t="s">
        <v>58</v>
      </c>
    </row>
    <row r="22" spans="1:10" x14ac:dyDescent="0.2">
      <c r="B22">
        <v>8060</v>
      </c>
      <c r="C22" t="s">
        <v>59</v>
      </c>
    </row>
    <row r="24" spans="1:10" x14ac:dyDescent="0.2">
      <c r="A24" s="4" t="s">
        <v>26</v>
      </c>
      <c r="B24" s="4"/>
      <c r="C24" s="4"/>
      <c r="D24" s="4"/>
      <c r="E24" s="4"/>
      <c r="F24" s="4"/>
      <c r="G24" s="4"/>
      <c r="H24" s="4"/>
      <c r="I24" s="4"/>
      <c r="J24" s="4"/>
    </row>
    <row r="25" spans="1:10" x14ac:dyDescent="0.2">
      <c r="A25" s="11"/>
      <c r="B25" s="11"/>
      <c r="C25" s="11"/>
      <c r="D25" s="11"/>
      <c r="E25" s="11"/>
      <c r="F25" s="11"/>
      <c r="G25" s="11"/>
      <c r="H25" s="11"/>
      <c r="I25" s="11"/>
      <c r="J25" s="11"/>
    </row>
    <row r="26" spans="1:10" ht="15" x14ac:dyDescent="0.2">
      <c r="B26" s="5" t="s">
        <v>52</v>
      </c>
      <c r="C26" s="6" t="s">
        <v>0</v>
      </c>
    </row>
    <row r="27" spans="1:10" x14ac:dyDescent="0.2">
      <c r="B27" s="1">
        <v>101</v>
      </c>
      <c r="C27" t="s">
        <v>6</v>
      </c>
      <c r="F27" s="1"/>
    </row>
    <row r="28" spans="1:10" x14ac:dyDescent="0.2">
      <c r="B28" s="1">
        <v>102</v>
      </c>
      <c r="C28" t="s">
        <v>7</v>
      </c>
      <c r="F28" s="1"/>
    </row>
    <row r="29" spans="1:10" x14ac:dyDescent="0.2">
      <c r="B29" s="1">
        <v>103</v>
      </c>
      <c r="C29" t="s">
        <v>8</v>
      </c>
      <c r="F29" s="1"/>
    </row>
    <row r="30" spans="1:10" x14ac:dyDescent="0.2">
      <c r="B30" s="1">
        <v>104</v>
      </c>
      <c r="C30" t="s">
        <v>9</v>
      </c>
      <c r="F30" s="1"/>
    </row>
    <row r="31" spans="1:10" x14ac:dyDescent="0.2">
      <c r="B31" s="1">
        <v>105</v>
      </c>
      <c r="C31" t="s">
        <v>4</v>
      </c>
      <c r="F31" s="1"/>
    </row>
    <row r="32" spans="1:10" x14ac:dyDescent="0.2">
      <c r="B32" s="1">
        <v>106</v>
      </c>
      <c r="C32" t="s">
        <v>5</v>
      </c>
      <c r="F32" s="1"/>
    </row>
    <row r="33" spans="1:6" x14ac:dyDescent="0.2">
      <c r="B33" s="1">
        <v>107</v>
      </c>
      <c r="C33" t="s">
        <v>10</v>
      </c>
      <c r="F33" s="1"/>
    </row>
    <row r="34" spans="1:6" x14ac:dyDescent="0.2">
      <c r="B34" s="1">
        <v>108</v>
      </c>
      <c r="C34" t="s">
        <v>11</v>
      </c>
      <c r="F34" s="1"/>
    </row>
    <row r="35" spans="1:6" x14ac:dyDescent="0.2">
      <c r="B35" s="1">
        <v>109</v>
      </c>
      <c r="C35" t="s">
        <v>12</v>
      </c>
      <c r="F35" s="1"/>
    </row>
    <row r="36" spans="1:6" x14ac:dyDescent="0.2">
      <c r="B36" s="1">
        <v>110</v>
      </c>
      <c r="C36" t="s">
        <v>13</v>
      </c>
      <c r="F36" s="1"/>
    </row>
    <row r="37" spans="1:6" x14ac:dyDescent="0.2">
      <c r="B37" s="1">
        <v>111</v>
      </c>
      <c r="C37" t="s">
        <v>14</v>
      </c>
      <c r="F37" s="1"/>
    </row>
    <row r="38" spans="1:6" x14ac:dyDescent="0.2">
      <c r="B38" s="1">
        <v>112</v>
      </c>
      <c r="C38" t="s">
        <v>15</v>
      </c>
      <c r="F38" s="1"/>
    </row>
    <row r="39" spans="1:6" x14ac:dyDescent="0.2">
      <c r="B39" s="1">
        <v>113</v>
      </c>
      <c r="C39" t="s">
        <v>16</v>
      </c>
      <c r="F39" s="1"/>
    </row>
    <row r="40" spans="1:6" x14ac:dyDescent="0.2">
      <c r="B40" s="1">
        <v>114</v>
      </c>
      <c r="C40" t="s">
        <v>17</v>
      </c>
      <c r="F40" s="1"/>
    </row>
    <row r="41" spans="1:6" x14ac:dyDescent="0.2">
      <c r="B41" s="1">
        <v>115</v>
      </c>
      <c r="C41" t="s">
        <v>18</v>
      </c>
      <c r="F41" s="1"/>
    </row>
    <row r="42" spans="1:6" x14ac:dyDescent="0.2">
      <c r="B42" s="1">
        <v>116</v>
      </c>
      <c r="C42" t="s">
        <v>19</v>
      </c>
      <c r="F42" s="1"/>
    </row>
    <row r="43" spans="1:6" x14ac:dyDescent="0.2">
      <c r="B43" s="1">
        <v>117</v>
      </c>
      <c r="C43" t="s">
        <v>20</v>
      </c>
      <c r="F43" s="1"/>
    </row>
    <row r="44" spans="1:6" x14ac:dyDescent="0.2">
      <c r="B44" s="1">
        <v>118</v>
      </c>
      <c r="C44" t="s">
        <v>21</v>
      </c>
      <c r="F44" s="1"/>
    </row>
    <row r="45" spans="1:6" x14ac:dyDescent="0.2">
      <c r="B45" s="1">
        <v>119</v>
      </c>
      <c r="C45" t="s">
        <v>22</v>
      </c>
      <c r="F45" s="1"/>
    </row>
    <row r="46" spans="1:6" x14ac:dyDescent="0.2">
      <c r="B46" s="1">
        <v>120</v>
      </c>
      <c r="C46" t="s">
        <v>23</v>
      </c>
      <c r="F46" s="1"/>
    </row>
    <row r="47" spans="1:6" x14ac:dyDescent="0.2">
      <c r="A47" s="1"/>
    </row>
    <row r="48" spans="1:6" x14ac:dyDescent="0.2">
      <c r="A48" s="1"/>
    </row>
    <row r="50" spans="1:10" x14ac:dyDescent="0.2">
      <c r="A50" s="4" t="s">
        <v>60</v>
      </c>
      <c r="B50" s="4"/>
      <c r="C50" s="4"/>
      <c r="D50" s="4"/>
      <c r="E50" s="4"/>
      <c r="F50" s="4"/>
      <c r="G50" s="4"/>
      <c r="H50" s="4"/>
      <c r="I50" s="4"/>
      <c r="J50" s="4"/>
    </row>
    <row r="51" spans="1:10" x14ac:dyDescent="0.2">
      <c r="A51" s="11"/>
      <c r="B51" s="11"/>
      <c r="C51" s="11"/>
      <c r="D51" s="11"/>
      <c r="E51" s="11"/>
      <c r="F51" s="11"/>
      <c r="G51" s="11"/>
      <c r="H51" s="11"/>
      <c r="I51" s="11"/>
      <c r="J51" s="11"/>
    </row>
    <row r="52" spans="1:10" ht="15" x14ac:dyDescent="0.2">
      <c r="B52" s="5" t="s">
        <v>37</v>
      </c>
      <c r="C52" s="6" t="s">
        <v>51</v>
      </c>
    </row>
    <row r="53" spans="1:10" x14ac:dyDescent="0.2">
      <c r="B53">
        <v>1</v>
      </c>
      <c r="C53">
        <v>1.0629200000000001</v>
      </c>
    </row>
    <row r="54" spans="1:10" x14ac:dyDescent="0.2">
      <c r="B54">
        <v>2</v>
      </c>
      <c r="C54">
        <v>1.064889</v>
      </c>
    </row>
    <row r="55" spans="1:10" x14ac:dyDescent="0.2">
      <c r="B55">
        <v>3</v>
      </c>
      <c r="C55">
        <v>1.069491</v>
      </c>
    </row>
    <row r="56" spans="1:10" x14ac:dyDescent="0.2">
      <c r="B56">
        <v>4</v>
      </c>
      <c r="C56">
        <v>1.0708819999999999</v>
      </c>
    </row>
    <row r="57" spans="1:10" x14ac:dyDescent="0.2">
      <c r="B57">
        <v>5</v>
      </c>
      <c r="C57">
        <v>1.106112</v>
      </c>
    </row>
    <row r="58" spans="1:10" x14ac:dyDescent="0.2">
      <c r="B58">
        <v>6</v>
      </c>
      <c r="C58">
        <v>1.1229709999999999</v>
      </c>
    </row>
    <row r="59" spans="1:10" x14ac:dyDescent="0.2">
      <c r="B59">
        <v>7</v>
      </c>
      <c r="C59">
        <v>1.1528700000000001</v>
      </c>
    </row>
    <row r="60" spans="1:10" x14ac:dyDescent="0.2">
      <c r="B60">
        <v>8</v>
      </c>
      <c r="C60">
        <v>1.181608</v>
      </c>
    </row>
    <row r="61" spans="1:10" x14ac:dyDescent="0.2">
      <c r="B61">
        <v>9</v>
      </c>
      <c r="C61">
        <v>1.191249</v>
      </c>
    </row>
    <row r="62" spans="1:10" x14ac:dyDescent="0.2">
      <c r="B62">
        <v>10</v>
      </c>
      <c r="C62">
        <v>1.174939</v>
      </c>
    </row>
    <row r="63" spans="1:10" x14ac:dyDescent="0.2">
      <c r="B63">
        <v>11</v>
      </c>
      <c r="C63">
        <v>1.1745300000000001</v>
      </c>
    </row>
    <row r="64" spans="1:10" x14ac:dyDescent="0.2">
      <c r="B64">
        <v>12</v>
      </c>
      <c r="C64">
        <v>1.19095</v>
      </c>
    </row>
    <row r="68" spans="1:10" x14ac:dyDescent="0.2">
      <c r="A68" s="4"/>
      <c r="B68" s="4"/>
      <c r="C68" s="4"/>
      <c r="D68" s="4"/>
      <c r="E68" s="4"/>
      <c r="F68" s="4"/>
      <c r="G68" s="4"/>
      <c r="H68" s="4"/>
      <c r="I68" s="4"/>
      <c r="J68" s="4"/>
    </row>
  </sheetData>
  <pageMargins left="0.7" right="0.7" top="0.75" bottom="0.75" header="0.3" footer="0.3"/>
  <tableParts count="4">
    <tablePart r:id="rId1"/>
    <tablePart r:id="rId2"/>
    <tablePart r:id="rId3"/>
    <tablePart r:id="rId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NewDat"/>
  <dimension ref="A2:I46"/>
  <sheetViews>
    <sheetView workbookViewId="0">
      <selection activeCell="L38" sqref="L38"/>
    </sheetView>
  </sheetViews>
  <sheetFormatPr defaultRowHeight="12.75" x14ac:dyDescent="0.2"/>
  <cols>
    <col min="2" max="2" width="15.140625" customWidth="1"/>
    <col min="3" max="3" width="14.140625" customWidth="1"/>
  </cols>
  <sheetData>
    <row r="2" spans="2:9" x14ac:dyDescent="0.2">
      <c r="B2" t="s">
        <v>39</v>
      </c>
      <c r="C2" t="s">
        <v>28</v>
      </c>
    </row>
    <row r="4" spans="2:9" x14ac:dyDescent="0.2">
      <c r="B4" t="s">
        <v>2</v>
      </c>
      <c r="C4" t="s">
        <v>40</v>
      </c>
      <c r="D4" t="s">
        <v>61</v>
      </c>
      <c r="E4" t="s">
        <v>49</v>
      </c>
      <c r="F4" t="s">
        <v>52</v>
      </c>
      <c r="G4" t="s">
        <v>43</v>
      </c>
      <c r="H4" t="s">
        <v>41</v>
      </c>
      <c r="I4" t="s">
        <v>42</v>
      </c>
    </row>
    <row r="5" spans="2:9" x14ac:dyDescent="0.2">
      <c r="B5">
        <v>66030</v>
      </c>
      <c r="C5" s="13">
        <v>43377</v>
      </c>
      <c r="D5" t="s">
        <v>80</v>
      </c>
      <c r="E5">
        <v>8010</v>
      </c>
      <c r="F5">
        <v>103</v>
      </c>
      <c r="G5" t="s">
        <v>62</v>
      </c>
      <c r="H5">
        <v>120</v>
      </c>
      <c r="I5">
        <v>1440</v>
      </c>
    </row>
    <row r="6" spans="2:9" x14ac:dyDescent="0.2">
      <c r="B6">
        <v>66030</v>
      </c>
      <c r="C6" s="13">
        <v>43377</v>
      </c>
      <c r="D6" t="s">
        <v>81</v>
      </c>
      <c r="E6">
        <v>8010</v>
      </c>
      <c r="F6">
        <v>104</v>
      </c>
      <c r="H6">
        <v>150</v>
      </c>
      <c r="I6">
        <v>1800</v>
      </c>
    </row>
    <row r="7" spans="2:9" x14ac:dyDescent="0.2">
      <c r="B7">
        <v>66032</v>
      </c>
      <c r="C7" s="13">
        <v>43380</v>
      </c>
      <c r="D7" t="s">
        <v>82</v>
      </c>
      <c r="E7">
        <v>8010</v>
      </c>
      <c r="F7">
        <v>103</v>
      </c>
      <c r="H7">
        <v>170</v>
      </c>
      <c r="I7">
        <v>2040</v>
      </c>
    </row>
    <row r="8" spans="2:9" x14ac:dyDescent="0.2">
      <c r="B8">
        <v>66032</v>
      </c>
      <c r="C8" s="13">
        <v>43380</v>
      </c>
      <c r="D8" t="s">
        <v>83</v>
      </c>
      <c r="E8">
        <v>8010</v>
      </c>
      <c r="F8">
        <v>104</v>
      </c>
      <c r="H8">
        <v>140</v>
      </c>
      <c r="I8">
        <v>1680</v>
      </c>
    </row>
    <row r="9" spans="2:9" x14ac:dyDescent="0.2">
      <c r="B9">
        <v>66031</v>
      </c>
      <c r="C9" s="13">
        <v>43381</v>
      </c>
      <c r="D9" t="s">
        <v>84</v>
      </c>
      <c r="E9">
        <v>8020</v>
      </c>
      <c r="F9">
        <v>103</v>
      </c>
      <c r="G9">
        <v>1</v>
      </c>
      <c r="H9">
        <v>140</v>
      </c>
      <c r="I9">
        <v>1680</v>
      </c>
    </row>
    <row r="10" spans="2:9" x14ac:dyDescent="0.2">
      <c r="B10">
        <v>66031</v>
      </c>
      <c r="C10" s="13">
        <v>43381</v>
      </c>
      <c r="D10" t="s">
        <v>85</v>
      </c>
      <c r="E10">
        <v>8020</v>
      </c>
      <c r="F10">
        <v>104</v>
      </c>
      <c r="H10">
        <v>150</v>
      </c>
      <c r="I10">
        <v>1800</v>
      </c>
    </row>
    <row r="11" spans="2:9" x14ac:dyDescent="0.2">
      <c r="B11">
        <v>66031</v>
      </c>
      <c r="C11" s="13">
        <v>43381</v>
      </c>
      <c r="D11" t="s">
        <v>86</v>
      </c>
      <c r="E11">
        <v>8020</v>
      </c>
      <c r="F11">
        <v>105</v>
      </c>
      <c r="H11">
        <v>100</v>
      </c>
      <c r="I11">
        <v>1000</v>
      </c>
    </row>
    <row r="12" spans="2:9" x14ac:dyDescent="0.2">
      <c r="B12">
        <v>68112</v>
      </c>
      <c r="C12" s="13">
        <v>43384</v>
      </c>
      <c r="D12" t="s">
        <v>87</v>
      </c>
      <c r="E12">
        <v>8010</v>
      </c>
      <c r="F12">
        <v>104</v>
      </c>
      <c r="G12">
        <v>4</v>
      </c>
      <c r="H12">
        <v>180</v>
      </c>
      <c r="I12">
        <v>2160</v>
      </c>
    </row>
    <row r="13" spans="2:9" x14ac:dyDescent="0.2">
      <c r="B13">
        <v>68112</v>
      </c>
      <c r="C13" s="13">
        <v>43384</v>
      </c>
      <c r="D13" t="s">
        <v>82</v>
      </c>
      <c r="E13">
        <v>8010</v>
      </c>
      <c r="F13">
        <v>105</v>
      </c>
      <c r="H13">
        <v>120</v>
      </c>
      <c r="I13">
        <v>1200</v>
      </c>
    </row>
    <row r="14" spans="2:9" x14ac:dyDescent="0.2">
      <c r="B14">
        <v>68116</v>
      </c>
      <c r="C14" s="13">
        <v>43384</v>
      </c>
      <c r="D14" t="s">
        <v>88</v>
      </c>
      <c r="E14">
        <v>8020</v>
      </c>
      <c r="F14">
        <v>104</v>
      </c>
      <c r="H14">
        <v>150</v>
      </c>
      <c r="I14">
        <v>1800</v>
      </c>
    </row>
    <row r="15" spans="2:9" x14ac:dyDescent="0.2">
      <c r="B15">
        <v>68116</v>
      </c>
      <c r="C15" s="13">
        <v>43384</v>
      </c>
      <c r="D15" t="s">
        <v>87</v>
      </c>
      <c r="E15">
        <v>8020</v>
      </c>
      <c r="F15">
        <v>105</v>
      </c>
      <c r="H15">
        <v>190</v>
      </c>
      <c r="I15">
        <v>1900</v>
      </c>
    </row>
    <row r="16" spans="2:9" x14ac:dyDescent="0.2">
      <c r="B16">
        <v>68116</v>
      </c>
      <c r="C16" s="13">
        <v>43384</v>
      </c>
      <c r="D16" t="s">
        <v>84</v>
      </c>
      <c r="E16">
        <v>8020</v>
      </c>
      <c r="F16">
        <v>107</v>
      </c>
      <c r="G16">
        <v>2</v>
      </c>
      <c r="H16">
        <v>160</v>
      </c>
      <c r="I16">
        <v>800</v>
      </c>
    </row>
    <row r="17" spans="1:9" x14ac:dyDescent="0.2">
      <c r="B17">
        <v>68116</v>
      </c>
      <c r="C17" s="13">
        <v>43384</v>
      </c>
      <c r="D17" t="s">
        <v>84</v>
      </c>
      <c r="E17">
        <v>8010</v>
      </c>
      <c r="F17">
        <v>104</v>
      </c>
      <c r="H17">
        <v>160</v>
      </c>
      <c r="I17">
        <v>1920</v>
      </c>
    </row>
    <row r="18" spans="1:9" x14ac:dyDescent="0.2">
      <c r="B18">
        <v>68116</v>
      </c>
      <c r="C18" s="13">
        <v>43384</v>
      </c>
      <c r="D18" t="s">
        <v>80</v>
      </c>
      <c r="E18">
        <v>8010</v>
      </c>
      <c r="F18">
        <v>105</v>
      </c>
      <c r="H18">
        <v>190</v>
      </c>
      <c r="I18">
        <v>1900</v>
      </c>
    </row>
    <row r="19" spans="1:9" x14ac:dyDescent="0.2">
      <c r="B19">
        <v>65662</v>
      </c>
      <c r="C19" s="13">
        <v>43388</v>
      </c>
      <c r="D19" t="s">
        <v>83</v>
      </c>
      <c r="E19">
        <v>8020</v>
      </c>
      <c r="F19">
        <v>103</v>
      </c>
      <c r="H19">
        <v>120</v>
      </c>
      <c r="I19">
        <v>1440</v>
      </c>
    </row>
    <row r="20" spans="1:9" x14ac:dyDescent="0.2">
      <c r="B20">
        <v>65662</v>
      </c>
      <c r="C20" s="13">
        <v>43388</v>
      </c>
      <c r="D20" t="s">
        <v>86</v>
      </c>
      <c r="E20">
        <v>8020</v>
      </c>
      <c r="F20">
        <v>104</v>
      </c>
      <c r="H20">
        <v>110</v>
      </c>
      <c r="I20">
        <v>1320</v>
      </c>
    </row>
    <row r="21" spans="1:9" x14ac:dyDescent="0.2">
      <c r="B21">
        <v>65666</v>
      </c>
      <c r="C21" s="13">
        <v>43388</v>
      </c>
      <c r="D21" t="s">
        <v>83</v>
      </c>
      <c r="E21">
        <v>8010</v>
      </c>
      <c r="F21">
        <v>103</v>
      </c>
      <c r="H21">
        <v>120</v>
      </c>
      <c r="I21">
        <v>1440</v>
      </c>
    </row>
    <row r="22" spans="1:9" x14ac:dyDescent="0.2">
      <c r="B22">
        <v>65666</v>
      </c>
      <c r="C22" s="13">
        <v>43388</v>
      </c>
      <c r="D22" t="s">
        <v>82</v>
      </c>
      <c r="E22">
        <v>8010</v>
      </c>
      <c r="F22">
        <v>104</v>
      </c>
      <c r="H22">
        <v>140</v>
      </c>
      <c r="I22">
        <v>1680</v>
      </c>
    </row>
    <row r="23" spans="1:9" x14ac:dyDescent="0.2">
      <c r="B23">
        <v>65666</v>
      </c>
      <c r="C23" s="13">
        <v>43388</v>
      </c>
      <c r="D23" t="s">
        <v>81</v>
      </c>
      <c r="E23">
        <v>8010</v>
      </c>
      <c r="F23">
        <v>105</v>
      </c>
      <c r="H23">
        <v>160</v>
      </c>
      <c r="I23">
        <v>1600</v>
      </c>
    </row>
    <row r="24" spans="1:9" x14ac:dyDescent="0.2">
      <c r="B24">
        <v>65666</v>
      </c>
      <c r="C24" s="13">
        <v>43388</v>
      </c>
      <c r="D24" t="s">
        <v>88</v>
      </c>
      <c r="E24">
        <v>8020</v>
      </c>
      <c r="F24">
        <v>107</v>
      </c>
      <c r="H24">
        <v>120</v>
      </c>
      <c r="I24">
        <v>600</v>
      </c>
    </row>
    <row r="25" spans="1:9" x14ac:dyDescent="0.2">
      <c r="B25">
        <v>65666</v>
      </c>
      <c r="C25" s="13">
        <v>43388</v>
      </c>
      <c r="D25" t="s">
        <v>83</v>
      </c>
      <c r="E25">
        <v>8020</v>
      </c>
      <c r="F25">
        <v>103</v>
      </c>
      <c r="H25">
        <v>200</v>
      </c>
      <c r="I25">
        <v>2400</v>
      </c>
    </row>
    <row r="26" spans="1:9" x14ac:dyDescent="0.2">
      <c r="A26" s="13"/>
      <c r="B26">
        <v>66015</v>
      </c>
      <c r="C26" s="13">
        <v>43383</v>
      </c>
      <c r="D26" t="s">
        <v>87</v>
      </c>
      <c r="E26">
        <v>8010</v>
      </c>
      <c r="F26">
        <v>103</v>
      </c>
      <c r="H26">
        <v>140</v>
      </c>
      <c r="I26">
        <v>1680</v>
      </c>
    </row>
    <row r="27" spans="1:9" x14ac:dyDescent="0.2">
      <c r="A27" s="13"/>
      <c r="B27">
        <v>66015</v>
      </c>
      <c r="C27" s="13">
        <v>43383</v>
      </c>
      <c r="D27" t="s">
        <v>80</v>
      </c>
      <c r="E27">
        <v>8010</v>
      </c>
      <c r="F27">
        <v>104</v>
      </c>
      <c r="H27">
        <v>140</v>
      </c>
      <c r="I27">
        <v>1680</v>
      </c>
    </row>
    <row r="28" spans="1:9" x14ac:dyDescent="0.2">
      <c r="A28" s="13"/>
      <c r="B28">
        <v>66017</v>
      </c>
      <c r="C28" s="13">
        <v>43386</v>
      </c>
      <c r="D28" t="s">
        <v>80</v>
      </c>
      <c r="E28">
        <v>8010</v>
      </c>
      <c r="F28">
        <v>103</v>
      </c>
      <c r="H28">
        <v>140</v>
      </c>
      <c r="I28">
        <v>1680</v>
      </c>
    </row>
    <row r="29" spans="1:9" x14ac:dyDescent="0.2">
      <c r="A29" s="13"/>
      <c r="B29">
        <v>66017</v>
      </c>
      <c r="C29" s="13">
        <v>43386</v>
      </c>
      <c r="D29" t="s">
        <v>87</v>
      </c>
      <c r="E29">
        <v>8010</v>
      </c>
      <c r="F29">
        <v>104</v>
      </c>
      <c r="H29">
        <v>140</v>
      </c>
      <c r="I29">
        <v>1680</v>
      </c>
    </row>
    <row r="30" spans="1:9" x14ac:dyDescent="0.2">
      <c r="A30" s="13"/>
      <c r="B30">
        <v>66016</v>
      </c>
      <c r="C30" s="13">
        <v>43387</v>
      </c>
      <c r="D30" t="s">
        <v>89</v>
      </c>
      <c r="E30">
        <v>8020</v>
      </c>
      <c r="F30">
        <v>103</v>
      </c>
      <c r="H30">
        <v>120</v>
      </c>
      <c r="I30">
        <v>1440</v>
      </c>
    </row>
    <row r="31" spans="1:9" x14ac:dyDescent="0.2">
      <c r="A31" s="13"/>
      <c r="B31">
        <v>66016</v>
      </c>
      <c r="C31" s="13">
        <v>43387</v>
      </c>
      <c r="D31" t="s">
        <v>89</v>
      </c>
      <c r="E31">
        <v>8020</v>
      </c>
      <c r="F31">
        <v>104</v>
      </c>
      <c r="H31">
        <v>130</v>
      </c>
      <c r="I31">
        <v>1560</v>
      </c>
    </row>
    <row r="32" spans="1:9" x14ac:dyDescent="0.2">
      <c r="A32" s="13"/>
      <c r="B32">
        <v>66016</v>
      </c>
      <c r="C32" s="13">
        <v>43387</v>
      </c>
      <c r="D32" t="s">
        <v>84</v>
      </c>
      <c r="E32">
        <v>8020</v>
      </c>
      <c r="F32">
        <v>105</v>
      </c>
      <c r="H32">
        <v>120</v>
      </c>
      <c r="I32">
        <v>1200</v>
      </c>
    </row>
    <row r="33" spans="1:9" x14ac:dyDescent="0.2">
      <c r="A33" s="13"/>
      <c r="B33">
        <v>68097</v>
      </c>
      <c r="C33" s="13">
        <v>43390</v>
      </c>
      <c r="D33" t="s">
        <v>86</v>
      </c>
      <c r="E33">
        <v>8010</v>
      </c>
      <c r="F33">
        <v>104</v>
      </c>
      <c r="H33">
        <v>140</v>
      </c>
      <c r="I33">
        <v>1680</v>
      </c>
    </row>
    <row r="34" spans="1:9" x14ac:dyDescent="0.2">
      <c r="A34" s="13"/>
      <c r="B34">
        <v>68097</v>
      </c>
      <c r="C34" s="13">
        <v>43390</v>
      </c>
      <c r="D34" t="s">
        <v>84</v>
      </c>
      <c r="E34">
        <v>8010</v>
      </c>
      <c r="F34">
        <v>105</v>
      </c>
      <c r="H34">
        <v>130</v>
      </c>
      <c r="I34">
        <v>1300</v>
      </c>
    </row>
    <row r="35" spans="1:9" x14ac:dyDescent="0.2">
      <c r="A35" s="13"/>
      <c r="B35">
        <v>68099</v>
      </c>
      <c r="C35" s="13">
        <v>43390</v>
      </c>
      <c r="D35" t="s">
        <v>83</v>
      </c>
      <c r="E35">
        <v>8020</v>
      </c>
      <c r="F35">
        <v>104</v>
      </c>
      <c r="H35">
        <v>120</v>
      </c>
      <c r="I35">
        <v>1440</v>
      </c>
    </row>
    <row r="36" spans="1:9" x14ac:dyDescent="0.2">
      <c r="A36" s="13"/>
      <c r="B36">
        <v>68099</v>
      </c>
      <c r="C36" s="13">
        <v>43390</v>
      </c>
      <c r="D36" t="s">
        <v>84</v>
      </c>
      <c r="E36">
        <v>8020</v>
      </c>
      <c r="F36">
        <v>105</v>
      </c>
      <c r="G36">
        <v>2</v>
      </c>
      <c r="H36">
        <v>140</v>
      </c>
      <c r="I36">
        <v>1400</v>
      </c>
    </row>
    <row r="37" spans="1:9" x14ac:dyDescent="0.2">
      <c r="A37" s="13"/>
      <c r="B37">
        <v>68099</v>
      </c>
      <c r="C37" s="13">
        <v>43390</v>
      </c>
      <c r="D37" t="s">
        <v>86</v>
      </c>
      <c r="E37">
        <v>8020</v>
      </c>
      <c r="F37">
        <v>107</v>
      </c>
      <c r="H37">
        <v>170</v>
      </c>
      <c r="I37">
        <v>850</v>
      </c>
    </row>
    <row r="38" spans="1:9" x14ac:dyDescent="0.2">
      <c r="A38" s="13"/>
      <c r="B38">
        <v>68101</v>
      </c>
      <c r="C38" s="13">
        <v>43390</v>
      </c>
      <c r="D38" t="s">
        <v>89</v>
      </c>
      <c r="E38">
        <v>8010</v>
      </c>
      <c r="F38">
        <v>104</v>
      </c>
      <c r="H38">
        <v>190</v>
      </c>
      <c r="I38">
        <v>2280</v>
      </c>
    </row>
    <row r="39" spans="1:9" x14ac:dyDescent="0.2">
      <c r="A39" s="13"/>
      <c r="B39">
        <v>68101</v>
      </c>
      <c r="C39" s="13">
        <v>43390</v>
      </c>
      <c r="D39" t="s">
        <v>90</v>
      </c>
      <c r="E39">
        <v>8010</v>
      </c>
      <c r="F39">
        <v>105</v>
      </c>
      <c r="H39">
        <v>140</v>
      </c>
      <c r="I39">
        <v>1400</v>
      </c>
    </row>
    <row r="40" spans="1:9" x14ac:dyDescent="0.2">
      <c r="A40" s="13"/>
      <c r="B40">
        <v>65627</v>
      </c>
      <c r="C40" s="13">
        <v>43394</v>
      </c>
      <c r="D40" t="s">
        <v>83</v>
      </c>
      <c r="E40">
        <v>8020</v>
      </c>
      <c r="F40">
        <v>103</v>
      </c>
      <c r="H40">
        <v>140</v>
      </c>
      <c r="I40">
        <v>1680</v>
      </c>
    </row>
    <row r="41" spans="1:9" x14ac:dyDescent="0.2">
      <c r="A41" s="13"/>
      <c r="B41">
        <v>65627</v>
      </c>
      <c r="C41" s="13">
        <v>43394</v>
      </c>
      <c r="D41" t="s">
        <v>90</v>
      </c>
      <c r="E41">
        <v>8020</v>
      </c>
      <c r="F41">
        <v>104</v>
      </c>
      <c r="G41">
        <v>3</v>
      </c>
      <c r="H41">
        <v>160</v>
      </c>
      <c r="I41">
        <v>1920</v>
      </c>
    </row>
    <row r="42" spans="1:9" x14ac:dyDescent="0.2">
      <c r="A42" s="13"/>
      <c r="B42">
        <v>65629</v>
      </c>
      <c r="C42" s="13">
        <v>43394</v>
      </c>
      <c r="D42" t="s">
        <v>84</v>
      </c>
      <c r="E42">
        <v>8010</v>
      </c>
      <c r="F42">
        <v>103</v>
      </c>
      <c r="H42">
        <v>190</v>
      </c>
      <c r="I42">
        <v>2280</v>
      </c>
    </row>
    <row r="43" spans="1:9" x14ac:dyDescent="0.2">
      <c r="A43" s="13"/>
      <c r="B43">
        <v>65629</v>
      </c>
      <c r="C43" s="13">
        <v>43394</v>
      </c>
      <c r="D43" t="s">
        <v>90</v>
      </c>
      <c r="E43">
        <v>8010</v>
      </c>
      <c r="F43">
        <v>104</v>
      </c>
      <c r="H43">
        <v>130</v>
      </c>
      <c r="I43">
        <v>1560</v>
      </c>
    </row>
    <row r="44" spans="1:9" x14ac:dyDescent="0.2">
      <c r="A44" s="13"/>
      <c r="B44">
        <v>65629</v>
      </c>
      <c r="C44" s="13">
        <v>43394</v>
      </c>
      <c r="D44" t="s">
        <v>86</v>
      </c>
      <c r="E44">
        <v>8010</v>
      </c>
      <c r="F44">
        <v>105</v>
      </c>
      <c r="H44">
        <v>140</v>
      </c>
      <c r="I44">
        <v>1400</v>
      </c>
    </row>
    <row r="45" spans="1:9" x14ac:dyDescent="0.2">
      <c r="A45" s="13"/>
      <c r="B45">
        <v>65631</v>
      </c>
      <c r="C45" s="13">
        <v>43394</v>
      </c>
      <c r="D45" t="s">
        <v>80</v>
      </c>
      <c r="E45">
        <v>8020</v>
      </c>
      <c r="F45">
        <v>107</v>
      </c>
      <c r="H45">
        <v>190</v>
      </c>
      <c r="I45">
        <v>950</v>
      </c>
    </row>
    <row r="46" spans="1:9" x14ac:dyDescent="0.2">
      <c r="A46" s="13"/>
      <c r="B46">
        <v>65631</v>
      </c>
      <c r="C46" s="13">
        <v>43394</v>
      </c>
      <c r="D46" t="s">
        <v>85</v>
      </c>
      <c r="E46">
        <v>8020</v>
      </c>
      <c r="F46">
        <v>103</v>
      </c>
      <c r="H46">
        <v>120</v>
      </c>
      <c r="I46">
        <v>1440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Start</vt:lpstr>
      <vt:lpstr>Summary</vt:lpstr>
      <vt:lpstr>RegionTemp</vt:lpstr>
      <vt:lpstr>Map</vt:lpstr>
      <vt:lpstr>NewData</vt:lpstr>
      <vt:lpstr>MRegion</vt:lpstr>
    </vt:vector>
  </TitlesOfParts>
  <Company>www.xelplus.com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Leila Gharani</dc:creator>
  <dc:description>Example tool made to demonstrate some key VBA concepts from my online VBA course on Udemy.com</dc:description>
  <cp:lastModifiedBy>Rae Khan</cp:lastModifiedBy>
  <dcterms:created xsi:type="dcterms:W3CDTF">2017-10-02T07:41:32Z</dcterms:created>
  <dcterms:modified xsi:type="dcterms:W3CDTF">2020-11-24T01:49:55Z</dcterms:modified>
</cp:coreProperties>
</file>